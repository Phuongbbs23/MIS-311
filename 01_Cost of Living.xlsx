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hidePivotFieldList="1"/>
  <bookViews>
    <workbookView windowWidth="18350" windowHeight="6800" activeTab="2"/>
  </bookViews>
  <sheets>
    <sheet name="Cleaned_01_Cost of Living" sheetId="1" r:id="rId1"/>
    <sheet name="Descriptive analysis" sheetId="2" r:id="rId2"/>
    <sheet name="Descriptive analysis by region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<sst xmlns="http://schemas.openxmlformats.org/spreadsheetml/2006/main" count="451" uniqueCount="44">
  <si>
    <t>Country</t>
  </si>
  <si>
    <t>Year</t>
  </si>
  <si>
    <t>Average_Monthly_Income</t>
  </si>
  <si>
    <t>Cost_of_Living</t>
  </si>
  <si>
    <t>Region</t>
  </si>
  <si>
    <t>Australia</t>
  </si>
  <si>
    <t>Oceania</t>
  </si>
  <si>
    <t>India</t>
  </si>
  <si>
    <t>Asia</t>
  </si>
  <si>
    <t>Russia</t>
  </si>
  <si>
    <t>Europe</t>
  </si>
  <si>
    <t>South Africa</t>
  </si>
  <si>
    <t>Africa</t>
  </si>
  <si>
    <t>Brazil</t>
  </si>
  <si>
    <t>South America</t>
  </si>
  <si>
    <t>China</t>
  </si>
  <si>
    <t>Japan</t>
  </si>
  <si>
    <t>Canada</t>
  </si>
  <si>
    <t>North America</t>
  </si>
  <si>
    <t>Germany</t>
  </si>
  <si>
    <t>Mexico</t>
  </si>
  <si>
    <t>United States</t>
  </si>
  <si>
    <t>France</t>
  </si>
  <si>
    <t>Metric</t>
  </si>
  <si>
    <t>Average Monthly Income</t>
  </si>
  <si>
    <t>Cost of Living</t>
  </si>
  <si>
    <t>Mean</t>
  </si>
  <si>
    <t>Standard Deviation</t>
  </si>
  <si>
    <t>Standard Error</t>
  </si>
  <si>
    <t>Median</t>
  </si>
  <si>
    <t>Mode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</si>
  <si>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</si>
  <si>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</si>
  <si>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</si>
  <si>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</si>
  <si>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</si>
  <si>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</si>
  <si>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</si>
  <si>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</si>
  <si>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Level(95,0%)</t>
  </si>
  <si>
    <t>Row Labels</t>
  </si>
  <si>
    <t>Average of Average_Monthly_Income</t>
  </si>
  <si>
    <t>Average of Cost_of_Living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</si>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</sst>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i/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2" fontId="0" fillId="0" borderId="0" xfId="0" applyNumberForma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/>
    <xf numFmtId="0" fontId="1" fillId="0" borderId="2" xfId="0" applyFont="1" applyBorder="1"/>
    <xf numFmtId="0" fontId="0" fillId="0" borderId="2" xfId="0" applyBorder="1"/>
    <xf numFmtId="0" fontId="1" fillId="0" borderId="3" xfId="0" applyFont="1" applyBorder="1"/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3">
    <dxf>
      <font>
        <family val="2"/>
        <b val="1"/>
      </font>
    </dxf>
    <dxf>
      <font>
        <family val="2"/>
        <b val="1"/>
      </font>
    </dxf>
    <dxf>
      <font>
        <family val="2"/>
        <b val="1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name val="Arial"/>
        <scheme val="none"/>
        <family val="2"/>
        <b val="0"/>
        <i val="0"/>
        <strike val="0"/>
        <u val="none"/>
        <sz val="11"/>
        <color theme="1"/>
      </font>
      <border>
        <left/>
        <right style="thin">
          <color auto="1"/>
        </right>
        <top style="thin">
          <color auto="1"/>
        </top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>
        <left style="thin">
          <color auto="1"/>
        </left>
        <right/>
        <top style="thin">
          <color auto="1"/>
        </top>
        <bottom/>
      </border>
    </dxf>
    <dxf>
      <font>
        <name val="Arial"/>
        <scheme val="none"/>
        <family val="2"/>
        <b val="1"/>
        <i val="0"/>
        <strike val="0"/>
        <u val="none"/>
        <sz val="11"/>
        <color theme="1"/>
      </font>
      <border>
        <left/>
        <right style="thin">
          <color auto="1"/>
        </right>
        <top style="thin">
          <color auto="1"/>
        </top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>
        <left style="thin">
          <color auto="1"/>
        </left>
        <right/>
        <top style="thin">
          <color auto="1"/>
        </top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100" b="1" i="0" u="none" strike="noStrike" baseline="0"/>
              <a:t>Comparison of Average Monthly Income and Cost of Living</a:t>
            </a:r>
            <a:endParaRPr lang="vi-VN" sz="1100" b="1" baseline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'Descriptive analysis'!$G$1</c:f>
              <c:strCache>
                <c:ptCount val="1"/>
                <c:pt idx="0">
                  <c:v>Average Monthly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246dd3b-4070-49d7-95d2-1d9e88d5850c}" type="VALUE">
                      <a:t>[VALUE]</a:t>
                    </a:fld>
                    <a:endParaRPr lang="en-US" b="1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'Descriptive analysis'!$F$2</c:f>
              <c:strCache>
                <c:ptCount val="1"/>
                <c:pt idx="0">
                  <c:v>Mean</c:v>
                </c:pt>
              </c:strCache>
            </c:strRef>
          </c:cat>
          <c:val>
            <c:numRef>
              <c:f>'Descriptive analysis'!$G$2</c:f>
              <c:numCache>
                <c:formatCode>General</c:formatCode>
                <c:ptCount val="1"/>
                <c:pt idx="0">
                  <c:v>4243.96715736041</c:v>
                </c:pt>
              </c:numCache>
            </c:numRef>
          </c:val>
        </c:ser>
        <c:ser>
          <c:idx val="1"/>
          <c:order val="1"/>
          <c:tx>
            <c:strRef>
              <c:f>'Descriptive analysis'!$H$1</c:f>
              <c:strCache>
                <c:ptCount val="1"/>
                <c:pt idx="0">
                  <c:v>Cost of Living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fd6364d-c616-4dbe-bd8b-94c2e2d88982}" type="VALUE">
                      <a:t>[VALUE]</a:t>
                    </a:fld>
                    <a:endParaRPr lang="en-US" b="1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'Descriptive analysis'!$F$2</c:f>
              <c:strCache>
                <c:ptCount val="1"/>
                <c:pt idx="0">
                  <c:v>Mean</c:v>
                </c:pt>
              </c:strCache>
            </c:strRef>
          </c:cat>
          <c:val>
            <c:numRef>
              <c:f>'Descriptive analysis'!$H$2</c:f>
              <c:numCache>
                <c:formatCode>General</c:formatCode>
                <c:ptCount val="1"/>
                <c:pt idx="0">
                  <c:v>3705.12728643216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86863632"/>
        <c:axId val="1078243408"/>
      </c:barChart>
      <c:catAx>
        <c:axId val="148686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78243408"/>
        <c:crosses val="autoZero"/>
        <c:auto val="1"/>
        <c:lblAlgn val="ctr"/>
        <c:lblOffset val="100"/>
        <c:noMultiLvlLbl val="0"/>
      </c:catAx>
      <c:valAx>
        <c:axId val="107824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Value</a:t>
                </a:r>
                <a:endParaRPr lang="en-US" baseline="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8686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86efea7-3b8e-4dc0-98ad-14e00f2488b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Comparison</a:t>
            </a:r>
            <a:r>
              <a:rPr lang="en-US" b="1" baseline="0"/>
              <a:t> of Standard Deviation Income and Cost of Living</a:t>
            </a:r>
            <a:endParaRPr lang="vi-VN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'Descriptive analysis'!$K$1</c:f>
              <c:strCache>
                <c:ptCount val="1"/>
                <c:pt idx="0">
                  <c:v>Average Monthly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2dde5b6-d599-4862-acda-62de9b8d46a5}" type="VALUE">
                      <a:t>[VALUE]</a:t>
                    </a:fld>
                    <a:endParaRPr lang="en-US" b="1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'Descriptive analysis'!$J$2</c:f>
              <c:strCache>
                <c:ptCount val="1"/>
                <c:pt idx="0">
                  <c:v>Standard Deviation</c:v>
                </c:pt>
              </c:strCache>
            </c:strRef>
          </c:cat>
          <c:val>
            <c:numRef>
              <c:f>'Descriptive analysis'!$K$2</c:f>
              <c:numCache>
                <c:formatCode>General</c:formatCode>
                <c:ptCount val="1"/>
                <c:pt idx="0">
                  <c:v>2127.40859396702</c:v>
                </c:pt>
              </c:numCache>
            </c:numRef>
          </c:val>
        </c:ser>
        <c:ser>
          <c:idx val="1"/>
          <c:order val="1"/>
          <c:tx>
            <c:strRef>
              <c:f>'Descriptive analysis'!$L$1</c:f>
              <c:strCache>
                <c:ptCount val="1"/>
                <c:pt idx="0">
                  <c:v>Cost of Living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77a2942-ce5e-49ce-abec-6ce794da7808}" type="VALUE">
                      <a:t>[VALUE]</a:t>
                    </a:fld>
                    <a:endParaRPr lang="en-US" b="1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'Descriptive analysis'!$J$2</c:f>
              <c:strCache>
                <c:ptCount val="1"/>
                <c:pt idx="0">
                  <c:v>Standard Deviation</c:v>
                </c:pt>
              </c:strCache>
            </c:strRef>
          </c:cat>
          <c:val>
            <c:numRef>
              <c:f>'Descriptive analysis'!$L$2</c:f>
              <c:numCache>
                <c:formatCode>General</c:formatCode>
                <c:ptCount val="1"/>
                <c:pt idx="0">
                  <c:v>1982.21665414973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1501440"/>
        <c:axId val="1078242928"/>
      </c:barChart>
      <c:catAx>
        <c:axId val="150150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78242928"/>
        <c:crosses val="autoZero"/>
        <c:auto val="1"/>
        <c:lblAlgn val="ctr"/>
        <c:lblOffset val="100"/>
        <c:noMultiLvlLbl val="0"/>
      </c:catAx>
      <c:valAx>
        <c:axId val="107824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0150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cf69ec2-09e0-452c-afe8-70a3720a98e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01_Cost of Living (2).xlsx]Descriptive analysis by region!PivotTable1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vi-VN" b="1"/>
              <a:t>Average Monthly Income and Cost of Living by Region</a:t>
            </a:r>
            <a:endParaRPr lang="vi-VN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'Descriptive analysis by region'!$B$3</c:f>
              <c:strCache>
                <c:ptCount val="1"/>
                <c:pt idx="0">
                  <c:v>Average of Average_Monthly_Income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0.0212825929504679"/>
                  <c:y val="-0.012043533485480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'Descriptive analysis by region'!$A$4:$A$10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 America</c:v>
                </c:pt>
                <c:pt idx="4">
                  <c:v>Oceania</c:v>
                </c:pt>
                <c:pt idx="5">
                  <c:v>South America</c:v>
                </c:pt>
              </c:strCache>
            </c:strRef>
          </c:cat>
          <c:val>
            <c:numRef>
              <c:f>'Descriptive analysis by region'!$B$4:$B$10</c:f>
              <c:numCache>
                <c:formatCode>0.00</c:formatCode>
                <c:ptCount val="6"/>
                <c:pt idx="0">
                  <c:v>4695.185</c:v>
                </c:pt>
                <c:pt idx="1">
                  <c:v>4172.51404255319</c:v>
                </c:pt>
                <c:pt idx="2">
                  <c:v>4477.25755555556</c:v>
                </c:pt>
                <c:pt idx="3">
                  <c:v>3764.2836</c:v>
                </c:pt>
                <c:pt idx="4">
                  <c:v>4548.38952380952</c:v>
                </c:pt>
                <c:pt idx="5">
                  <c:v>4389.568125</c:v>
                </c:pt>
              </c:numCache>
            </c:numRef>
          </c:val>
        </c:ser>
        <c:ser>
          <c:idx val="1"/>
          <c:order val="1"/>
          <c:tx>
            <c:strRef>
              <c:f>'Descriptive analysis by region'!$C$3</c:f>
              <c:strCache>
                <c:ptCount val="1"/>
                <c:pt idx="0">
                  <c:v>Average of Cost_of_Living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00851303718018715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0957716682771054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127695557702807"/>
                  <c:y val="-0.0048174133941920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148978150653275"/>
                  <c:y val="-0.0024087066970960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106412964752338"/>
                  <c:y val="-0.016860946879672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148978150653275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'Descriptive analysis by region'!$A$4:$A$10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 America</c:v>
                </c:pt>
                <c:pt idx="4">
                  <c:v>Oceania</c:v>
                </c:pt>
                <c:pt idx="5">
                  <c:v>South America</c:v>
                </c:pt>
              </c:strCache>
            </c:strRef>
          </c:cat>
          <c:val>
            <c:numRef>
              <c:f>'Descriptive analysis by region'!$C$4:$C$10</c:f>
              <c:numCache>
                <c:formatCode>0.00</c:formatCode>
                <c:ptCount val="6"/>
                <c:pt idx="0">
                  <c:v>3963.17388888889</c:v>
                </c:pt>
                <c:pt idx="1">
                  <c:v>3645.29319148936</c:v>
                </c:pt>
                <c:pt idx="2">
                  <c:v>3554.35</c:v>
                </c:pt>
                <c:pt idx="3">
                  <c:v>3750.07294117647</c:v>
                </c:pt>
                <c:pt idx="4">
                  <c:v>3913.39590909091</c:v>
                </c:pt>
                <c:pt idx="5">
                  <c:v>3585.015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38128400"/>
        <c:axId val="1731661424"/>
      </c:barChart>
      <c:catAx>
        <c:axId val="183812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31661424"/>
        <c:crosses val="autoZero"/>
        <c:auto val="1"/>
        <c:lblAlgn val="ctr"/>
        <c:lblOffset val="100"/>
        <c:noMultiLvlLbl val="0"/>
      </c:catAx>
      <c:valAx>
        <c:axId val="173166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  <a:endParaRPr lang="vi-V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3812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9869221-418a-4f6a-bd4c-8e33e0c1db9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646580</xdr:colOff>
      <xdr:row>3</xdr:row>
      <xdr:rowOff>36980</xdr:rowOff>
    </xdr:from>
    <xdr:to>
      <xdr:col>7</xdr:col>
      <xdr:colOff>1202764</xdr:colOff>
      <xdr:row>19</xdr:row>
      <xdr:rowOff>7470</xdr:rowOff>
    </xdr:to>
    <xdr:graphicFrame>
      <xdr:nvGraphicFramePr>
        <xdr:cNvPr id="2" name="Chart 1"/>
        <xdr:cNvGraphicFramePr/>
      </xdr:nvGraphicFramePr>
      <xdr:xfrm>
        <a:off x="6107430" y="570230"/>
        <a:ext cx="4639310" cy="2824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14942</xdr:colOff>
      <xdr:row>3</xdr:row>
      <xdr:rowOff>59765</xdr:rowOff>
    </xdr:from>
    <xdr:to>
      <xdr:col>11</xdr:col>
      <xdr:colOff>1195295</xdr:colOff>
      <xdr:row>19</xdr:row>
      <xdr:rowOff>7470</xdr:rowOff>
    </xdr:to>
    <xdr:graphicFrame>
      <xdr:nvGraphicFramePr>
        <xdr:cNvPr id="4" name="Chart 3"/>
        <xdr:cNvGraphicFramePr/>
      </xdr:nvGraphicFramePr>
      <xdr:xfrm>
        <a:off x="11450955" y="593090"/>
        <a:ext cx="4577715" cy="2801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433648</xdr:colOff>
      <xdr:row>0</xdr:row>
      <xdr:rowOff>0</xdr:rowOff>
    </xdr:from>
    <xdr:to>
      <xdr:col>20</xdr:col>
      <xdr:colOff>208508</xdr:colOff>
      <xdr:row>29</xdr:row>
      <xdr:rowOff>50375</xdr:rowOff>
    </xdr:to>
    <xdr:graphicFrame>
      <xdr:nvGraphicFramePr>
        <xdr:cNvPr id="2" name="Chart 1"/>
        <xdr:cNvGraphicFramePr/>
      </xdr:nvGraphicFramePr>
      <xdr:xfrm>
        <a:off x="5227320" y="0"/>
        <a:ext cx="12297410" cy="5206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325.3654563657" refreshedBy="HP" recordCount="199">
  <cacheSource type="worksheet">
    <worksheetSource name="Table1"/>
  </cacheSource>
  <cacheFields count="5">
    <cacheField name="Country" numFmtId="0"/>
    <cacheField name="Year" numFmtId="0"/>
    <cacheField name="Average_Monthly_Income" numFmtId="0"/>
    <cacheField name="Cost_of_Living" numFmtId="0"/>
    <cacheField name="Region" numFmtId="0">
      <sharedItems count="6">
        <s v="Oceania"/>
        <s v="Asia"/>
        <s v="Europe"/>
        <s v="Africa"/>
        <s v="South America"/>
        <s v="North America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s v="Australia"/>
    <n v="2013"/>
    <n v="3483.92"/>
    <n v="1106.07"/>
    <x v="0"/>
  </r>
  <r>
    <s v="India"/>
    <n v="2019"/>
    <n v="7771.03"/>
    <n v="5422.78"/>
    <x v="1"/>
  </r>
  <r>
    <s v="Russia"/>
    <n v="2004"/>
    <n v="6991.3"/>
    <n v="3972.36"/>
    <x v="2"/>
  </r>
  <r>
    <s v="South Africa"/>
    <n v="2011"/>
    <n v="6628.04"/>
    <n v="6755.75"/>
    <x v="3"/>
  </r>
  <r>
    <s v="Brazil"/>
    <n v="2015"/>
    <n v="2434.27"/>
    <n v="2656.36"/>
    <x v="4"/>
  </r>
  <r>
    <s v="Australia"/>
    <n v="2015"/>
    <n v="1781.66"/>
    <n v="4575.3"/>
    <x v="0"/>
  </r>
  <r>
    <s v="China"/>
    <n v="2020"/>
    <n v="5514.82"/>
    <n v="6551.39"/>
    <x v="1"/>
  </r>
  <r>
    <s v="Japan"/>
    <n v="2006"/>
    <n v="7470.32"/>
    <n v="1076.56"/>
    <x v="1"/>
  </r>
  <r>
    <s v="Australia"/>
    <n v="2003"/>
    <n v="4675.72"/>
    <n v="6585.71"/>
    <x v="0"/>
  </r>
  <r>
    <s v="Russia"/>
    <n v="2000"/>
    <n v="4787.1000000000004"/>
    <n v="4940.05"/>
    <x v="2"/>
  </r>
  <r>
    <s v="Russia"/>
    <n v="2004"/>
    <n v="2599.84"/>
    <n v="847.72"/>
    <x v="2"/>
  </r>
  <r>
    <s v="South Africa"/>
    <n v="2022"/>
    <n v="6271.2"/>
    <n v="2386.36"/>
    <x v="3"/>
  </r>
  <r>
    <s v="Brazil"/>
    <n v="2009"/>
    <n v="1902.83"/>
    <n v="5073.9399999999996"/>
    <x v="4"/>
  </r>
  <r>
    <s v="India"/>
    <n v="2021"/>
    <n v="2927.59"/>
    <n v="844.51"/>
    <x v="1"/>
  </r>
  <r>
    <s v="South Africa"/>
    <n v="2004"/>
    <n v="3690.77"/>
    <n v="4242.33"/>
    <x v="3"/>
  </r>
  <r>
    <s v="South Africa"/>
    <n v="2003"/>
    <n v="4307.08"/>
    <n v="2682.83"/>
    <x v="3"/>
  </r>
  <r>
    <s v="Japan"/>
    <n v="2001"/>
    <n v="2318.0700000000002"/>
    <n v="4498.04"/>
    <x v="1"/>
  </r>
  <r>
    <s v="Canada"/>
    <n v="2019"/>
    <n v="1361.28"/>
    <n v="701.9"/>
    <x v="5"/>
  </r>
  <r>
    <s v="Brazil"/>
    <n v="2009"/>
    <n v="5079.6499999999996"/>
    <n v="6152.14"/>
    <x v="4"/>
  </r>
  <r>
    <s v="Germany"/>
    <n v="2018"/>
    <n v="2664.73"/>
    <n v="6825.03"/>
    <x v="2"/>
  </r>
  <r>
    <s v="South Africa"/>
    <n v="2000"/>
    <n v="4859.29"/>
    <n v="6794.59"/>
    <x v="3"/>
  </r>
  <r>
    <s v="Mexico"/>
    <n v="2023"/>
    <n v="1657.72"/>
    <n v="5347.7"/>
    <x v="5"/>
  </r>
  <r>
    <s v="Canada"/>
    <n v="2004"/>
    <n v="4108.55"/>
    <n v="1258.57"/>
    <x v="5"/>
  </r>
  <r>
    <s v="Germany"/>
    <n v="2012"/>
    <n v="4494.42"/>
    <n v="5404.54"/>
    <x v="2"/>
  </r>
  <r>
    <s v="Mexico"/>
    <n v="2003"/>
    <n v="888.68"/>
    <n v="562.27"/>
    <x v="5"/>
  </r>
  <r>
    <s v="Brazil"/>
    <n v="2015"/>
    <n v="3024.53"/>
    <n v="546.02"/>
    <x v="4"/>
  </r>
  <r>
    <s v="United States"/>
    <n v="2023"/>
    <n v="1508.11"/>
    <n v="2535.83"/>
    <x v="5"/>
  </r>
  <r>
    <s v="Mexico"/>
    <n v="2015"/>
    <n v="975.31"/>
    <n v="3625.05"/>
    <x v="5"/>
  </r>
  <r>
    <s v="China"/>
    <n v="2022"/>
    <n v="7924.7"/>
    <n v="5484.69"/>
    <x v="1"/>
  </r>
  <r>
    <s v="Canada"/>
    <n v="2001"/>
    <n v="2917.65"/>
    <n v="4909.75"/>
    <x v="5"/>
  </r>
  <r>
    <s v="Mexico"/>
    <n v="2016"/>
    <n v="6574.06"/>
    <n v="3342.96"/>
    <x v="5"/>
  </r>
  <r>
    <s v="France"/>
    <n v="2019"/>
    <n v="2409.8000000000002"/>
    <n v="2205.94"/>
    <x v="2"/>
  </r>
  <r>
    <s v="United States"/>
    <n v="2023"/>
    <n v="5611.27"/>
    <n v="6981.02"/>
    <x v="5"/>
  </r>
  <r>
    <s v="Russia"/>
    <n v="2011"/>
    <n v="6201.71"/>
    <n v="3212.8"/>
    <x v="2"/>
  </r>
  <r>
    <s v="Russia"/>
    <n v="2017"/>
    <n v="4967.29"/>
    <n v="3379.15"/>
    <x v="2"/>
  </r>
  <r>
    <s v="China"/>
    <n v="2002"/>
    <n v="4036.82"/>
    <n v="1479.92"/>
    <x v="1"/>
  </r>
  <r>
    <s v="Mexico"/>
    <n v="2000"/>
    <n v="3588.81"/>
    <n v="5645.74"/>
    <x v="5"/>
  </r>
  <r>
    <s v="Mexico"/>
    <n v="2000"/>
    <n v="3116.51"/>
    <n v="4978.3"/>
    <x v="5"/>
  </r>
  <r>
    <s v="Japan"/>
    <n v="2018"/>
    <n v="7471.47"/>
    <n v="1857.08"/>
    <x v="1"/>
  </r>
  <r>
    <s v="Mexico"/>
    <n v="2010"/>
    <n v="6729.65"/>
    <n v="943.71"/>
    <x v="5"/>
  </r>
  <r>
    <s v="Australia"/>
    <n v="2004"/>
    <n v="7737.7"/>
    <n v="4891.3"/>
    <x v="0"/>
  </r>
  <r>
    <s v="India"/>
    <n v="2011"/>
    <n v="1432.23"/>
    <n v="4719.7700000000004"/>
    <x v="1"/>
  </r>
  <r>
    <s v="France"/>
    <n v="2002"/>
    <n v="5981.51"/>
    <n v="2203.5100000000002"/>
    <x v="2"/>
  </r>
  <r>
    <s v="Japan"/>
    <n v="2000"/>
    <n v="7537.55"/>
    <n v="6675.7"/>
    <x v="1"/>
  </r>
  <r>
    <s v="Brazil"/>
    <n v="2000"/>
    <n v="1859.25"/>
    <n v="1396.98"/>
    <x v="4"/>
  </r>
  <r>
    <s v="Japan"/>
    <n v="2007"/>
    <n v="998.72"/>
    <n v="3253.41"/>
    <x v="1"/>
  </r>
  <r>
    <s v="Australia"/>
    <n v="2009"/>
    <n v="6058.4"/>
    <n v="6627.87"/>
    <x v="0"/>
  </r>
  <r>
    <s v="Brazil"/>
    <n v="2010"/>
    <n v="4808.55"/>
    <n v="3170.2"/>
    <x v="4"/>
  </r>
  <r>
    <s v="France"/>
    <n v="2011"/>
    <n v="6813.72"/>
    <n v="4614.2700000000004"/>
    <x v="2"/>
  </r>
  <r>
    <s v="Australia"/>
    <n v="2012"/>
    <n v="1548.29"/>
    <n v="3024.12"/>
    <x v="0"/>
  </r>
  <r>
    <s v="Germany"/>
    <n v="2011"/>
    <n v="6464.5"/>
    <n v="2209.8200000000002"/>
    <x v="2"/>
  </r>
  <r>
    <s v="India"/>
    <n v="2013"/>
    <n v="2012.2"/>
    <n v="6894.25"/>
    <x v="1"/>
  </r>
  <r>
    <s v="France"/>
    <n v="2001"/>
    <n v="1727.42"/>
    <n v="3101.6"/>
    <x v="2"/>
  </r>
  <r>
    <s v="Mexico"/>
    <n v="2018"/>
    <n v="1731.99"/>
    <n v="6301.05"/>
    <x v="5"/>
  </r>
  <r>
    <s v="Germany"/>
    <n v="2017"/>
    <n v="6609.31"/>
    <n v="1917.7"/>
    <x v="2"/>
  </r>
  <r>
    <s v="China"/>
    <n v="2002"/>
    <n v="5488.98"/>
    <n v="1806.49"/>
    <x v="1"/>
  </r>
  <r>
    <s v="France"/>
    <n v="2022"/>
    <n v="4422.99"/>
    <n v="605.48"/>
    <x v="2"/>
  </r>
  <r>
    <s v="China"/>
    <n v="2016"/>
    <n v="3191.23"/>
    <n v="4701"/>
    <x v="1"/>
  </r>
  <r>
    <s v="Brazil"/>
    <n v="2007"/>
    <n v="7079"/>
    <n v="2832.27"/>
    <x v="4"/>
  </r>
  <r>
    <s v="Germany"/>
    <n v="2009"/>
    <n v="3443.34"/>
    <n v="6104.76"/>
    <x v="2"/>
  </r>
  <r>
    <s v="India"/>
    <n v="2001"/>
    <n v="6624.5"/>
    <n v="3523.19"/>
    <x v="1"/>
  </r>
  <r>
    <s v="Mexico"/>
    <n v="2018"/>
    <n v="3793.51"/>
    <n v="6790.08"/>
    <x v="5"/>
  </r>
  <r>
    <s v="Mexico"/>
    <n v="2008"/>
    <n v="3327.08"/>
    <n v="1624.47"/>
    <x v="5"/>
  </r>
  <r>
    <s v="Australia"/>
    <n v="2006"/>
    <n v="3970.1"/>
    <n v="6132.91"/>
    <x v="0"/>
  </r>
  <r>
    <s v="Mexico"/>
    <n v="2003"/>
    <n v="2760.33"/>
    <n v="5525.54"/>
    <x v="5"/>
  </r>
  <r>
    <s v="South Africa"/>
    <n v="2020"/>
    <n v="6107.07"/>
    <n v="5488.08"/>
    <x v="3"/>
  </r>
  <r>
    <s v="Japan"/>
    <n v="2017"/>
    <n v="4270.3999999999996"/>
    <n v="5975.57"/>
    <x v="1"/>
  </r>
  <r>
    <s v="United States"/>
    <n v="2012"/>
    <n v="2241.6"/>
    <n v="5422.76"/>
    <x v="5"/>
  </r>
  <r>
    <s v="India"/>
    <n v="2010"/>
    <n v="7246.81"/>
    <n v="4533.05"/>
    <x v="1"/>
  </r>
  <r>
    <s v="Germany"/>
    <n v="2023"/>
    <n v="3379.18"/>
    <n v="1266.22"/>
    <x v="2"/>
  </r>
  <r>
    <s v="South Africa"/>
    <n v="2003"/>
    <n v="4576.6499999999996"/>
    <n v="614.66999999999996"/>
    <x v="3"/>
  </r>
  <r>
    <s v="India"/>
    <n v="2020"/>
    <n v="7298.54"/>
    <n v="6477.6"/>
    <x v="1"/>
  </r>
  <r>
    <s v="Germany"/>
    <n v="2003"/>
    <n v="5181.78"/>
    <n v="4469.8900000000003"/>
    <x v="2"/>
  </r>
  <r>
    <s v="Canada"/>
    <n v="2009"/>
    <n v="1376.74"/>
    <n v="5657.15"/>
    <x v="5"/>
  </r>
  <r>
    <s v="Canada"/>
    <n v="2004"/>
    <n v="7548.74"/>
    <n v="3578.05"/>
    <x v="5"/>
  </r>
  <r>
    <s v="China"/>
    <n v="2008"/>
    <n v="5207.8100000000004"/>
    <n v="1174.23"/>
    <x v="1"/>
  </r>
  <r>
    <s v="India"/>
    <n v="2023"/>
    <n v="3011.79"/>
    <n v="1226.23"/>
    <x v="1"/>
  </r>
  <r>
    <s v="Canada"/>
    <n v="2002"/>
    <n v="1544.54"/>
    <n v="4924.7299999999996"/>
    <x v="5"/>
  </r>
  <r>
    <s v="Germany"/>
    <n v="2016"/>
    <n v="6455.19"/>
    <n v="3240.02"/>
    <x v="2"/>
  </r>
  <r>
    <s v="China"/>
    <n v="2002"/>
    <n v="5150.55"/>
    <n v="1723.46"/>
    <x v="1"/>
  </r>
  <r>
    <s v="Mexico"/>
    <n v="2015"/>
    <n v="4500.96"/>
    <n v="3644.52"/>
    <x v="5"/>
  </r>
  <r>
    <s v="Germany"/>
    <n v="2003"/>
    <n v="7204.19"/>
    <n v="823.78"/>
    <x v="2"/>
  </r>
  <r>
    <s v="China"/>
    <n v="2017"/>
    <n v="6414.48"/>
    <n v="4241.01"/>
    <x v="1"/>
  </r>
  <r>
    <s v="India"/>
    <n v="2016"/>
    <n v="1637.56"/>
    <n v="2175.36"/>
    <x v="1"/>
  </r>
  <r>
    <s v="South Africa"/>
    <n v="2006"/>
    <n v="2837.92"/>
    <n v="5663.89"/>
    <x v="3"/>
  </r>
  <r>
    <s v="Australia"/>
    <n v="2023"/>
    <n v="2363.67"/>
    <n v="2448.39"/>
    <x v="0"/>
  </r>
  <r>
    <s v="Mexico"/>
    <n v="2022"/>
    <n v="6079.6"/>
    <n v="3404.45"/>
    <x v="5"/>
  </r>
  <r>
    <s v="France"/>
    <n v="2004"/>
    <n v="751.49"/>
    <n v="476.7"/>
    <x v="2"/>
  </r>
  <r>
    <s v="South Africa"/>
    <n v="2011"/>
    <n v="4774.17"/>
    <n v="878.15"/>
    <x v="3"/>
  </r>
  <r>
    <s v="Brazil"/>
    <n v="2016"/>
    <n v="6218.44"/>
    <n v="2990.46"/>
    <x v="4"/>
  </r>
  <r>
    <s v="Germany"/>
    <n v="2022"/>
    <n v="7075.74"/>
    <n v="3567.6"/>
    <x v="2"/>
  </r>
  <r>
    <s v="Brazil"/>
    <n v="2012"/>
    <n v="3065.61"/>
    <n v="4360.1400000000003"/>
    <x v="4"/>
  </r>
  <r>
    <s v="South Africa"/>
    <n v="2022"/>
    <n v="6659.43"/>
    <n v="2324.9699999999998"/>
    <x v="3"/>
  </r>
  <r>
    <s v="China"/>
    <n v="2002"/>
    <n v="1329.74"/>
    <n v="4986.88"/>
    <x v="1"/>
  </r>
  <r>
    <s v="France"/>
    <n v="2008"/>
    <n v="6848.39"/>
    <n v="6076.81"/>
    <x v="2"/>
  </r>
  <r>
    <s v="Mexico"/>
    <n v="2016"/>
    <n v="1456.16"/>
    <n v="5547.02"/>
    <x v="5"/>
  </r>
  <r>
    <s v="Mexico"/>
    <n v="2016"/>
    <n v="3479.65"/>
    <n v="661.48"/>
    <x v="5"/>
  </r>
  <r>
    <s v="Mexico"/>
    <n v="2019"/>
    <n v="6479.72"/>
    <n v="3571.35"/>
    <x v="5"/>
  </r>
  <r>
    <s v="France"/>
    <n v="2015"/>
    <n v="1624.38"/>
    <n v="1092.54"/>
    <x v="2"/>
  </r>
  <r>
    <s v="United States"/>
    <n v="2021"/>
    <n v="2219.39"/>
    <n v="1997.5"/>
    <x v="5"/>
  </r>
  <r>
    <s v="France"/>
    <n v="2012"/>
    <n v="5916.89"/>
    <n v="6911.97"/>
    <x v="2"/>
  </r>
  <r>
    <s v="Australia"/>
    <n v="2018"/>
    <n v="5900.27"/>
    <n v="1340.47"/>
    <x v="0"/>
  </r>
  <r>
    <s v="France"/>
    <n v="2016"/>
    <n v="5308.61"/>
    <n v="3692.66"/>
    <x v="2"/>
  </r>
  <r>
    <s v="South Africa"/>
    <n v="2003"/>
    <n v="5704.61"/>
    <n v="4479.83"/>
    <x v="3"/>
  </r>
  <r>
    <s v="United States"/>
    <n v="2011"/>
    <n v="4570.43"/>
    <n v="5036.2700000000004"/>
    <x v="5"/>
  </r>
  <r>
    <s v="Mexico"/>
    <n v="2008"/>
    <n v="2388.4899999999998"/>
    <n v="4093.68"/>
    <x v="5"/>
  </r>
  <r>
    <s v="South Africa"/>
    <n v="2018"/>
    <n v="3092.72"/>
    <n v="464.49"/>
    <x v="3"/>
  </r>
  <r>
    <s v="South Africa"/>
    <n v="2011"/>
    <n v="1861.98"/>
    <n v="2554.64"/>
    <x v="3"/>
  </r>
  <r>
    <s v="Russia"/>
    <n v="2008"/>
    <n v="7313.38"/>
    <n v="3816.9"/>
    <x v="2"/>
  </r>
  <r>
    <s v="Japan"/>
    <n v="2006"/>
    <n v="4875.4399999999996"/>
    <n v="979.92"/>
    <x v="1"/>
  </r>
  <r>
    <s v="United States"/>
    <n v="2013"/>
    <n v="3506.39"/>
    <n v="2714.14"/>
    <x v="5"/>
  </r>
  <r>
    <s v="South Africa"/>
    <n v="2019"/>
    <n v="3965.04"/>
    <n v="619.14"/>
    <x v="3"/>
  </r>
  <r>
    <s v="Japan"/>
    <n v="2018"/>
    <n v="7604.63"/>
    <n v="918.62"/>
    <x v="1"/>
  </r>
  <r>
    <s v="Japan"/>
    <n v="2014"/>
    <n v="1650.14"/>
    <n v="3019.69"/>
    <x v="1"/>
  </r>
  <r>
    <s v="United States"/>
    <n v="2015"/>
    <n v="4896.72"/>
    <n v="1275.92"/>
    <x v="5"/>
  </r>
  <r>
    <s v="Russia"/>
    <n v="2020"/>
    <n v="4294.17"/>
    <n v="4145.7700000000004"/>
    <x v="2"/>
  </r>
  <r>
    <s v="Brazil"/>
    <n v="2004"/>
    <n v="5085.91"/>
    <n v="4950.47"/>
    <x v="4"/>
  </r>
  <r>
    <s v="China"/>
    <n v="2002"/>
    <n v="635.83000000000004"/>
    <n v="5683.87"/>
    <x v="1"/>
  </r>
  <r>
    <s v="Australia"/>
    <n v="2011"/>
    <n v="7040.93"/>
    <n v="1720.99"/>
    <x v="0"/>
  </r>
  <r>
    <s v="China"/>
    <n v="2019"/>
    <n v="7490.89"/>
    <n v="1505.39"/>
    <x v="1"/>
  </r>
  <r>
    <s v="France"/>
    <n v="2020"/>
    <n v="4738.5"/>
    <n v="1090.1500000000001"/>
    <x v="2"/>
  </r>
  <r>
    <s v="Mexico"/>
    <n v="2003"/>
    <n v="5724.88"/>
    <n v="4600.4399999999996"/>
    <x v="5"/>
  </r>
  <r>
    <s v="Australia"/>
    <n v="2020"/>
    <n v="7418.75"/>
    <n v="5062.74"/>
    <x v="0"/>
  </r>
  <r>
    <s v="France"/>
    <n v="2022"/>
    <n v="5804.29"/>
    <n v="608.47"/>
    <x v="2"/>
  </r>
  <r>
    <s v="South Africa"/>
    <n v="2015"/>
    <n v="1644.04"/>
    <n v="6579"/>
    <x v="3"/>
  </r>
  <r>
    <s v="Mexico"/>
    <n v="2006"/>
    <n v="4822.16"/>
    <n v="743.01"/>
    <x v="5"/>
  </r>
  <r>
    <s v="Germany"/>
    <n v="2012"/>
    <n v="5050.3599999999997"/>
    <n v="3972.56"/>
    <x v="2"/>
  </r>
  <r>
    <s v="United States"/>
    <n v="2020"/>
    <n v="3680.98"/>
    <n v="5079.8"/>
    <x v="5"/>
  </r>
  <r>
    <s v="Australia"/>
    <n v="2009"/>
    <n v="6023.33"/>
    <n v="6148.4"/>
    <x v="0"/>
  </r>
  <r>
    <s v="Australia"/>
    <n v="2006"/>
    <n v="7507.75"/>
    <n v="5112.97"/>
    <x v="0"/>
  </r>
  <r>
    <s v="South Africa"/>
    <n v="2013"/>
    <n v="7441.76"/>
    <n v="5691.41"/>
    <x v="3"/>
  </r>
  <r>
    <s v="Brazil"/>
    <n v="2004"/>
    <n v="3881.3"/>
    <n v="2640.37"/>
    <x v="4"/>
  </r>
  <r>
    <s v="Japan"/>
    <n v="2002"/>
    <n v="1349.29"/>
    <n v="5777.85"/>
    <x v="1"/>
  </r>
  <r>
    <s v="Mexico"/>
    <n v="2022"/>
    <n v="7886.31"/>
    <n v="928.76"/>
    <x v="5"/>
  </r>
  <r>
    <s v="South Africa"/>
    <n v="2010"/>
    <n v="6791.74"/>
    <n v="6305.79"/>
    <x v="3"/>
  </r>
  <r>
    <s v="Canada"/>
    <n v="2010"/>
    <n v="1434.97"/>
    <n v="4014.11"/>
    <x v="5"/>
  </r>
  <r>
    <s v="Russia"/>
    <n v="2017"/>
    <n v="7406.31"/>
    <n v="5794.17"/>
    <x v="2"/>
  </r>
  <r>
    <s v="Japan"/>
    <n v="2014"/>
    <n v="7024.22"/>
    <n v="3385.3"/>
    <x v="1"/>
  </r>
  <r>
    <s v="United States"/>
    <n v="2011"/>
    <n v="4391.29"/>
    <n v="4647.6099999999997"/>
    <x v="5"/>
  </r>
  <r>
    <s v="Japan"/>
    <n v="2008"/>
    <n v="4934.57"/>
    <n v="3874.26"/>
    <x v="1"/>
  </r>
  <r>
    <s v="Brazil"/>
    <n v="2009"/>
    <n v="3492.52"/>
    <n v="5228.49"/>
    <x v="4"/>
  </r>
  <r>
    <s v="Japan"/>
    <n v="2011"/>
    <n v="910.71"/>
    <n v="938.76"/>
    <x v="1"/>
  </r>
  <r>
    <s v="United States"/>
    <n v="2016"/>
    <n v="3013.98"/>
    <n v="798.32"/>
    <x v="5"/>
  </r>
  <r>
    <s v="Brazil"/>
    <n v="2005"/>
    <n v="6521.4"/>
    <n v="2030.88"/>
    <x v="4"/>
  </r>
  <r>
    <s v="China"/>
    <n v="2006"/>
    <n v="534.74"/>
    <n v="1452.99"/>
    <x v="1"/>
  </r>
  <r>
    <s v="Australia"/>
    <n v="2013"/>
    <n v="3001.24"/>
    <n v="6153.77"/>
    <x v="0"/>
  </r>
  <r>
    <s v="Australia"/>
    <n v="2012"/>
    <n v="3486.27"/>
    <n v="1846.81"/>
    <x v="0"/>
  </r>
  <r>
    <s v="Russia"/>
    <n v="2007"/>
    <n v="4530.47"/>
    <n v="6840.71"/>
    <x v="2"/>
  </r>
  <r>
    <s v="France"/>
    <n v="2009"/>
    <n v="7398.92"/>
    <n v="2623.51"/>
    <x v="2"/>
  </r>
  <r>
    <s v="China"/>
    <n v="2008"/>
    <n v="3097.59"/>
    <n v="1601.98"/>
    <x v="1"/>
  </r>
  <r>
    <s v="China"/>
    <n v="2017"/>
    <n v="3102.15"/>
    <n v="5612.01"/>
    <x v="1"/>
  </r>
  <r>
    <s v="Mexico"/>
    <n v="2001"/>
    <n v="6031.26"/>
    <n v="4747.47"/>
    <x v="5"/>
  </r>
  <r>
    <s v="Japan"/>
    <n v="2004"/>
    <n v="3891.63"/>
    <n v="3688.09"/>
    <x v="1"/>
  </r>
  <r>
    <s v="Australia"/>
    <n v="2004"/>
    <n v="2184.54"/>
    <n v="4065.4"/>
    <x v="0"/>
  </r>
  <r>
    <s v="United States"/>
    <n v="2005"/>
    <n v="3893.3"/>
    <n v="5146.7299999999996"/>
    <x v="5"/>
  </r>
  <r>
    <s v="India"/>
    <n v="2018"/>
    <n v="1556.43"/>
    <n v="1907.8"/>
    <x v="1"/>
  </r>
  <r>
    <s v="India"/>
    <n v="2007"/>
    <n v="1822.9"/>
    <n v="6975.8"/>
    <x v="1"/>
  </r>
  <r>
    <s v="Brazil"/>
    <n v="2015"/>
    <n v="4237.76"/>
    <n v="6833.63"/>
    <x v="4"/>
  </r>
  <r>
    <s v="Australia"/>
    <n v="2012"/>
    <m/>
    <n v="4692.1499999999996"/>
    <x v="0"/>
  </r>
  <r>
    <s v="Australia"/>
    <n v="2000"/>
    <n v="7361.34"/>
    <n v="1716.98"/>
    <x v="0"/>
  </r>
  <r>
    <s v="Russia"/>
    <n v="2021"/>
    <n v="3217.95"/>
    <n v="4889.51"/>
    <x v="2"/>
  </r>
  <r>
    <s v="India"/>
    <n v="2019"/>
    <n v="4854.41"/>
    <n v="876.51"/>
    <x v="1"/>
  </r>
  <r>
    <s v="Australia"/>
    <n v="2016"/>
    <n v="5241.9799999999996"/>
    <n v="602.30999999999995"/>
    <x v="0"/>
  </r>
  <r>
    <s v="Russia"/>
    <n v="2006"/>
    <n v="598.21"/>
    <n v="2100.71"/>
    <x v="2"/>
  </r>
  <r>
    <s v="Japan"/>
    <n v="2012"/>
    <n v="5476.53"/>
    <n v="3453.31"/>
    <x v="1"/>
  </r>
  <r>
    <s v="Canada"/>
    <n v="2003"/>
    <n v="1835.27"/>
    <n v="6130.6"/>
    <x v="5"/>
  </r>
  <r>
    <s v="Mexico"/>
    <n v="2003"/>
    <n v="7708.03"/>
    <n v="5199.32"/>
    <x v="5"/>
  </r>
  <r>
    <s v="Germany"/>
    <n v="2005"/>
    <n v="1614.97"/>
    <n v="5301.86"/>
    <x v="2"/>
  </r>
  <r>
    <s v="China"/>
    <n v="2018"/>
    <n v="3609.68"/>
    <n v="3208.26"/>
    <x v="1"/>
  </r>
  <r>
    <s v="France"/>
    <n v="2011"/>
    <n v="1140.1199999999999"/>
    <n v="2683.17"/>
    <x v="2"/>
  </r>
  <r>
    <s v="Brazil"/>
    <n v="2021"/>
    <n v="7976.56"/>
    <n v="2848.86"/>
    <x v="4"/>
  </r>
  <r>
    <s v="Canada"/>
    <n v="2006"/>
    <n v="4266.46"/>
    <n v="6918.49"/>
    <x v="5"/>
  </r>
  <r>
    <s v="Mexico"/>
    <n v="2009"/>
    <n v="4965.3900000000003"/>
    <n v="664.72"/>
    <x v="5"/>
  </r>
  <r>
    <s v="Mexico"/>
    <n v="2018"/>
    <n v="1003.07"/>
    <n v="6122.41"/>
    <x v="5"/>
  </r>
  <r>
    <s v="Mexico"/>
    <n v="2006"/>
    <m/>
    <n v="4219.26"/>
    <x v="5"/>
  </r>
  <r>
    <s v="Mexico"/>
    <n v="2002"/>
    <n v="2074.29"/>
    <n v="3294.86"/>
    <x v="5"/>
  </r>
  <r>
    <s v="India"/>
    <n v="2012"/>
    <n v="7235.41"/>
    <n v="5186.7"/>
    <x v="1"/>
  </r>
  <r>
    <s v="Russia"/>
    <n v="2012"/>
    <n v="2038.55"/>
    <n v="3612.02"/>
    <x v="2"/>
  </r>
  <r>
    <s v="China"/>
    <n v="2017"/>
    <n v="1930.16"/>
    <n v="6164.59"/>
    <x v="1"/>
  </r>
  <r>
    <s v="Australia"/>
    <n v="2019"/>
    <n v="774.12"/>
    <n v="6344.63"/>
    <x v="0"/>
  </r>
  <r>
    <s v="Mexico"/>
    <n v="2007"/>
    <n v="4040.5"/>
    <n v="3183.36"/>
    <x v="5"/>
  </r>
  <r>
    <s v="France"/>
    <n v="2008"/>
    <n v="4736.3100000000004"/>
    <n v="2227.06"/>
    <x v="2"/>
  </r>
  <r>
    <s v="Australia"/>
    <n v="2006"/>
    <n v="992.81"/>
    <n v="4309.51"/>
    <x v="0"/>
  </r>
  <r>
    <s v="United States"/>
    <n v="2000"/>
    <n v="6316.46"/>
    <n v="6421.6"/>
    <x v="5"/>
  </r>
  <r>
    <s v="United States"/>
    <n v="2002"/>
    <n v="3899.67"/>
    <n v="1790.37"/>
    <x v="5"/>
  </r>
  <r>
    <s v="France"/>
    <n v="2012"/>
    <n v="4432.93"/>
    <n v="4511.58"/>
    <x v="2"/>
  </r>
  <r>
    <s v="Russia"/>
    <n v="2016"/>
    <n v="3805.72"/>
    <n v="4568.3"/>
    <x v="2"/>
  </r>
  <r>
    <s v="France"/>
    <n v="2023"/>
    <n v="3505.72"/>
    <n v="5238.55"/>
    <x v="2"/>
  </r>
  <r>
    <s v="India"/>
    <n v="2000"/>
    <n v="4697.3"/>
    <n v="1268.3499999999999"/>
    <x v="1"/>
  </r>
  <r>
    <s v="France"/>
    <n v="2005"/>
    <n v="1664.3"/>
    <n v="5124.4399999999996"/>
    <x v="2"/>
  </r>
  <r>
    <s v="Japan"/>
    <n v="2020"/>
    <n v="1864.46"/>
    <n v="6399.61"/>
    <x v="1"/>
  </r>
  <r>
    <s v="Australia"/>
    <n v="2005"/>
    <n v="6963.39"/>
    <n v="1585.91"/>
    <x v="0"/>
  </r>
  <r>
    <s v="Canada"/>
    <n v="2011"/>
    <n v="7595.87"/>
    <n v="1967.79"/>
    <x v="5"/>
  </r>
  <r>
    <s v="South Africa"/>
    <n v="2012"/>
    <n v="3299.82"/>
    <n v="6811.21"/>
    <x v="3"/>
  </r>
  <r>
    <s v="Russia"/>
    <n v="2012"/>
    <n v="2530.59"/>
    <n v="1594.45"/>
    <x v="2"/>
  </r>
  <r>
    <s v="France"/>
    <n v="2014"/>
    <n v="5330"/>
    <n v="6038.94"/>
    <x v="2"/>
  </r>
  <r>
    <s v="Brazil"/>
    <n v="2020"/>
    <n v="3565.51"/>
    <n v="3649.03"/>
    <x v="4"/>
  </r>
  <r>
    <s v="United States"/>
    <n v="2015"/>
    <n v="690.4"/>
    <n v="2031.73"/>
    <x v="5"/>
  </r>
  <r>
    <s v="Japan"/>
    <n v="2021"/>
    <n v="1671.14"/>
    <n v="6146.9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7">
  <location ref="A3:C10" firstHeaderRow="0" firstDataRow="1" firstDataCol="1"/>
  <pivotFields count="5">
    <pivotField showAll="0"/>
    <pivotField showAll="0"/>
    <pivotField dataField="1" showAll="0"/>
    <pivotField dataField="1" showAll="0"/>
    <pivotField axis="axisRow" showAll="0">
      <items count="7">
        <item x="3"/>
        <item x="1"/>
        <item x="2"/>
        <item x="5"/>
        <item x="0"/>
        <item x="4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verage_Monthly_Income" fld="2" subtotal="average" baseField="4" baseItem="0" numFmtId="2"/>
    <dataField name="Average of Cost_of_Living" fld="3" subtotal="average" baseField="4" baseItem="0" numFmtId="2"/>
  </dataFields>
  <formats count="7">
    <format dxfId="0">
      <pivotArea field="4" type="button" dataOnly="0" labelOnly="1" outline="0" fieldPosition="0"/>
    </format>
    <format dxfId="1">
      <pivotArea dataOnly="0" labelOnly="1" fieldPosition="0">
        <references count="1">
          <reference field="4" count="0"/>
        </references>
      </pivotArea>
    </format>
    <format dxfId="2">
      <pivotArea dataOnly="0" labelOnly="1" grandRow="1" outline="0" fieldPosition="0"/>
    </format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E200" totalsRowShown="0">
  <autoFilter xmlns:etc="http://www.wps.cn/officeDocument/2017/etCustomData" ref="A1:E200" etc:filterBottomFollowUsedRange="0"/>
  <tableColumns count="5">
    <tableColumn id="1" name="Country"/>
    <tableColumn id="2" name="Year"/>
    <tableColumn id="3" name="Average_Monthly_Income"/>
    <tableColumn id="4" name="Cost_of_Living"/>
    <tableColumn id="5" name="Reg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F1:H2" totalsRowShown="0">
  <autoFilter xmlns:etc="http://www.wps.cn/officeDocument/2017/etCustomData" ref="F1:H2" etc:filterBottomFollowUsedRange="0"/>
  <tableColumns count="3">
    <tableColumn id="1" name="Metric" dataDxfId="7"/>
    <tableColumn id="2" name="Average Monthly Income" dataDxfId="8">
      <calculatedColumnFormula>B2</calculatedColumnFormula>
    </tableColumn>
    <tableColumn id="3" name="Cost of Living" dataDxfId="9">
      <calculatedColumnFormula>D2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4" name="Table3" displayName="Table3" ref="J1:L2" totalsRowShown="0">
  <autoFilter xmlns:etc="http://www.wps.cn/officeDocument/2017/etCustomData" ref="J1:L2" etc:filterBottomFollowUsedRange="0"/>
  <tableColumns count="3">
    <tableColumn id="1" name="Metric" dataDxfId="10"/>
    <tableColumn id="2" name="Average Monthly Income" dataDxfId="11">
      <calculatedColumnFormula>B6</calculatedColumnFormula>
    </tableColumn>
    <tableColumn id="3" name="Cost of Living" dataDxfId="12">
      <calculatedColumnFormula>D6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0"/>
  <sheetViews>
    <sheetView topLeftCell="A139" workbookViewId="0">
      <selection activeCell="I10" sqref="I10"/>
    </sheetView>
  </sheetViews>
  <sheetFormatPr defaultColWidth="9" defaultRowHeight="14" outlineLevelCol="4"/>
  <cols>
    <col min="1" max="1" width="12.4166666666667" customWidth="1"/>
    <col min="2" max="2" width="6.5" customWidth="1"/>
    <col min="3" max="3" width="24.4166666666667" customWidth="1"/>
    <col min="4" max="4" width="15.4166666666667" customWidth="1"/>
    <col min="5" max="5" width="13.833333333333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2013</v>
      </c>
      <c r="C2">
        <v>3483.92</v>
      </c>
      <c r="D2">
        <v>1106.07</v>
      </c>
      <c r="E2" t="s">
        <v>6</v>
      </c>
    </row>
    <row r="3" spans="1:5">
      <c r="A3" t="s">
        <v>7</v>
      </c>
      <c r="B3">
        <v>2019</v>
      </c>
      <c r="C3">
        <v>7771.03</v>
      </c>
      <c r="D3">
        <v>5422.78</v>
      </c>
      <c r="E3" t="s">
        <v>8</v>
      </c>
    </row>
    <row r="4" spans="1:5">
      <c r="A4" t="s">
        <v>9</v>
      </c>
      <c r="B4">
        <v>2004</v>
      </c>
      <c r="C4">
        <v>6991.3</v>
      </c>
      <c r="D4">
        <v>3972.36</v>
      </c>
      <c r="E4" t="s">
        <v>10</v>
      </c>
    </row>
    <row r="5" spans="1:5">
      <c r="A5" t="s">
        <v>11</v>
      </c>
      <c r="B5">
        <v>2011</v>
      </c>
      <c r="C5">
        <v>6628.04</v>
      </c>
      <c r="D5">
        <v>6755.75</v>
      </c>
      <c r="E5" t="s">
        <v>12</v>
      </c>
    </row>
    <row r="6" spans="1:5">
      <c r="A6" t="s">
        <v>13</v>
      </c>
      <c r="B6">
        <v>2015</v>
      </c>
      <c r="C6">
        <v>2434.27</v>
      </c>
      <c r="D6">
        <v>2656.36</v>
      </c>
      <c r="E6" t="s">
        <v>14</v>
      </c>
    </row>
    <row r="7" spans="1:5">
      <c r="A7" t="s">
        <v>5</v>
      </c>
      <c r="B7">
        <v>2015</v>
      </c>
      <c r="C7">
        <v>1781.66</v>
      </c>
      <c r="D7">
        <v>4575.3</v>
      </c>
      <c r="E7" t="s">
        <v>6</v>
      </c>
    </row>
    <row r="8" spans="1:5">
      <c r="A8" t="s">
        <v>15</v>
      </c>
      <c r="B8">
        <v>2020</v>
      </c>
      <c r="C8">
        <v>5514.82</v>
      </c>
      <c r="D8">
        <v>6551.39</v>
      </c>
      <c r="E8" t="s">
        <v>8</v>
      </c>
    </row>
    <row r="9" spans="1:5">
      <c r="A9" t="s">
        <v>16</v>
      </c>
      <c r="B9">
        <v>2006</v>
      </c>
      <c r="C9">
        <v>7470.32</v>
      </c>
      <c r="D9">
        <v>1076.56</v>
      </c>
      <c r="E9" t="s">
        <v>8</v>
      </c>
    </row>
    <row r="10" spans="1:5">
      <c r="A10" t="s">
        <v>5</v>
      </c>
      <c r="B10">
        <v>2003</v>
      </c>
      <c r="C10">
        <v>4675.72</v>
      </c>
      <c r="D10">
        <v>6585.71</v>
      </c>
      <c r="E10" t="s">
        <v>6</v>
      </c>
    </row>
    <row r="11" spans="1:5">
      <c r="A11" t="s">
        <v>9</v>
      </c>
      <c r="B11">
        <v>2000</v>
      </c>
      <c r="C11">
        <v>4787.1</v>
      </c>
      <c r="D11">
        <v>4940.05</v>
      </c>
      <c r="E11" t="s">
        <v>10</v>
      </c>
    </row>
    <row r="12" spans="1:5">
      <c r="A12" t="s">
        <v>9</v>
      </c>
      <c r="B12">
        <v>2004</v>
      </c>
      <c r="C12">
        <v>2599.84</v>
      </c>
      <c r="D12">
        <v>847.72</v>
      </c>
      <c r="E12" t="s">
        <v>10</v>
      </c>
    </row>
    <row r="13" spans="1:5">
      <c r="A13" t="s">
        <v>11</v>
      </c>
      <c r="B13">
        <v>2022</v>
      </c>
      <c r="C13">
        <v>6271.2</v>
      </c>
      <c r="D13">
        <v>2386.36</v>
      </c>
      <c r="E13" t="s">
        <v>12</v>
      </c>
    </row>
    <row r="14" spans="1:5">
      <c r="A14" t="s">
        <v>13</v>
      </c>
      <c r="B14">
        <v>2009</v>
      </c>
      <c r="C14">
        <v>1902.83</v>
      </c>
      <c r="D14">
        <v>5073.94</v>
      </c>
      <c r="E14" t="s">
        <v>14</v>
      </c>
    </row>
    <row r="15" spans="1:5">
      <c r="A15" t="s">
        <v>7</v>
      </c>
      <c r="B15">
        <v>2021</v>
      </c>
      <c r="C15">
        <v>2927.59</v>
      </c>
      <c r="D15">
        <v>844.51</v>
      </c>
      <c r="E15" t="s">
        <v>8</v>
      </c>
    </row>
    <row r="16" spans="1:5">
      <c r="A16" t="s">
        <v>11</v>
      </c>
      <c r="B16">
        <v>2004</v>
      </c>
      <c r="C16">
        <v>3690.77</v>
      </c>
      <c r="D16">
        <v>4242.33</v>
      </c>
      <c r="E16" t="s">
        <v>12</v>
      </c>
    </row>
    <row r="17" spans="1:5">
      <c r="A17" t="s">
        <v>11</v>
      </c>
      <c r="B17">
        <v>2003</v>
      </c>
      <c r="C17">
        <v>4307.08</v>
      </c>
      <c r="D17">
        <v>2682.83</v>
      </c>
      <c r="E17" t="s">
        <v>12</v>
      </c>
    </row>
    <row r="18" spans="1:5">
      <c r="A18" t="s">
        <v>16</v>
      </c>
      <c r="B18">
        <v>2001</v>
      </c>
      <c r="C18">
        <v>2318.07</v>
      </c>
      <c r="D18">
        <v>4498.04</v>
      </c>
      <c r="E18" t="s">
        <v>8</v>
      </c>
    </row>
    <row r="19" spans="1:5">
      <c r="A19" t="s">
        <v>17</v>
      </c>
      <c r="B19">
        <v>2019</v>
      </c>
      <c r="C19">
        <v>1361.28</v>
      </c>
      <c r="D19">
        <v>701.9</v>
      </c>
      <c r="E19" t="s">
        <v>18</v>
      </c>
    </row>
    <row r="20" spans="1:5">
      <c r="A20" t="s">
        <v>13</v>
      </c>
      <c r="B20">
        <v>2009</v>
      </c>
      <c r="C20">
        <v>5079.65</v>
      </c>
      <c r="D20">
        <v>6152.14</v>
      </c>
      <c r="E20" t="s">
        <v>14</v>
      </c>
    </row>
    <row r="21" spans="1:5">
      <c r="A21" t="s">
        <v>19</v>
      </c>
      <c r="B21">
        <v>2018</v>
      </c>
      <c r="C21">
        <v>2664.73</v>
      </c>
      <c r="D21">
        <v>6825.03</v>
      </c>
      <c r="E21" t="s">
        <v>10</v>
      </c>
    </row>
    <row r="22" spans="1:5">
      <c r="A22" t="s">
        <v>11</v>
      </c>
      <c r="B22">
        <v>2000</v>
      </c>
      <c r="C22">
        <v>4859.29</v>
      </c>
      <c r="D22">
        <v>6794.59</v>
      </c>
      <c r="E22" t="s">
        <v>12</v>
      </c>
    </row>
    <row r="23" spans="1:5">
      <c r="A23" t="s">
        <v>20</v>
      </c>
      <c r="B23">
        <v>2023</v>
      </c>
      <c r="C23">
        <v>1657.72</v>
      </c>
      <c r="D23">
        <v>5347.7</v>
      </c>
      <c r="E23" t="s">
        <v>18</v>
      </c>
    </row>
    <row r="24" spans="1:5">
      <c r="A24" t="s">
        <v>17</v>
      </c>
      <c r="B24">
        <v>2004</v>
      </c>
      <c r="C24">
        <v>4108.55</v>
      </c>
      <c r="D24">
        <v>1258.57</v>
      </c>
      <c r="E24" t="s">
        <v>18</v>
      </c>
    </row>
    <row r="25" spans="1:5">
      <c r="A25" t="s">
        <v>19</v>
      </c>
      <c r="B25">
        <v>2012</v>
      </c>
      <c r="C25">
        <v>4494.42</v>
      </c>
      <c r="D25">
        <v>5404.54</v>
      </c>
      <c r="E25" t="s">
        <v>10</v>
      </c>
    </row>
    <row r="26" spans="1:5">
      <c r="A26" t="s">
        <v>20</v>
      </c>
      <c r="B26">
        <v>2003</v>
      </c>
      <c r="C26">
        <v>888.68</v>
      </c>
      <c r="D26">
        <v>562.27</v>
      </c>
      <c r="E26" t="s">
        <v>18</v>
      </c>
    </row>
    <row r="27" spans="1:5">
      <c r="A27" t="s">
        <v>13</v>
      </c>
      <c r="B27">
        <v>2015</v>
      </c>
      <c r="C27">
        <v>3024.53</v>
      </c>
      <c r="D27">
        <v>546.02</v>
      </c>
      <c r="E27" t="s">
        <v>14</v>
      </c>
    </row>
    <row r="28" spans="1:5">
      <c r="A28" t="s">
        <v>21</v>
      </c>
      <c r="B28">
        <v>2023</v>
      </c>
      <c r="C28">
        <v>1508.11</v>
      </c>
      <c r="D28">
        <v>2535.83</v>
      </c>
      <c r="E28" t="s">
        <v>18</v>
      </c>
    </row>
    <row r="29" spans="1:5">
      <c r="A29" t="s">
        <v>20</v>
      </c>
      <c r="B29">
        <v>2015</v>
      </c>
      <c r="C29">
        <v>975.31</v>
      </c>
      <c r="D29">
        <v>3625.05</v>
      </c>
      <c r="E29" t="s">
        <v>18</v>
      </c>
    </row>
    <row r="30" spans="1:5">
      <c r="A30" t="s">
        <v>15</v>
      </c>
      <c r="B30">
        <v>2022</v>
      </c>
      <c r="C30">
        <v>7924.7</v>
      </c>
      <c r="D30">
        <v>5484.69</v>
      </c>
      <c r="E30" t="s">
        <v>8</v>
      </c>
    </row>
    <row r="31" spans="1:5">
      <c r="A31" t="s">
        <v>17</v>
      </c>
      <c r="B31">
        <v>2001</v>
      </c>
      <c r="C31">
        <v>2917.65</v>
      </c>
      <c r="D31">
        <v>4909.75</v>
      </c>
      <c r="E31" t="s">
        <v>18</v>
      </c>
    </row>
    <row r="32" spans="1:5">
      <c r="A32" t="s">
        <v>20</v>
      </c>
      <c r="B32">
        <v>2016</v>
      </c>
      <c r="C32">
        <v>6574.06</v>
      </c>
      <c r="D32">
        <v>3342.96</v>
      </c>
      <c r="E32" t="s">
        <v>18</v>
      </c>
    </row>
    <row r="33" spans="1:5">
      <c r="A33" t="s">
        <v>22</v>
      </c>
      <c r="B33">
        <v>2019</v>
      </c>
      <c r="C33">
        <v>2409.8</v>
      </c>
      <c r="D33">
        <v>2205.94</v>
      </c>
      <c r="E33" t="s">
        <v>10</v>
      </c>
    </row>
    <row r="34" spans="1:5">
      <c r="A34" t="s">
        <v>21</v>
      </c>
      <c r="B34">
        <v>2023</v>
      </c>
      <c r="C34">
        <v>5611.27</v>
      </c>
      <c r="D34">
        <v>6981.02</v>
      </c>
      <c r="E34" t="s">
        <v>18</v>
      </c>
    </row>
    <row r="35" spans="1:5">
      <c r="A35" t="s">
        <v>9</v>
      </c>
      <c r="B35">
        <v>2011</v>
      </c>
      <c r="C35">
        <v>6201.71</v>
      </c>
      <c r="D35">
        <v>3212.8</v>
      </c>
      <c r="E35" t="s">
        <v>10</v>
      </c>
    </row>
    <row r="36" spans="1:5">
      <c r="A36" t="s">
        <v>9</v>
      </c>
      <c r="B36">
        <v>2017</v>
      </c>
      <c r="C36">
        <v>4967.29</v>
      </c>
      <c r="D36">
        <v>3379.15</v>
      </c>
      <c r="E36" t="s">
        <v>10</v>
      </c>
    </row>
    <row r="37" spans="1:5">
      <c r="A37" t="s">
        <v>15</v>
      </c>
      <c r="B37">
        <v>2002</v>
      </c>
      <c r="C37">
        <v>4036.82</v>
      </c>
      <c r="D37">
        <v>1479.92</v>
      </c>
      <c r="E37" t="s">
        <v>8</v>
      </c>
    </row>
    <row r="38" spans="1:5">
      <c r="A38" t="s">
        <v>20</v>
      </c>
      <c r="B38">
        <v>2000</v>
      </c>
      <c r="C38">
        <v>3588.81</v>
      </c>
      <c r="D38">
        <v>5645.74</v>
      </c>
      <c r="E38" t="s">
        <v>18</v>
      </c>
    </row>
    <row r="39" spans="1:5">
      <c r="A39" t="s">
        <v>20</v>
      </c>
      <c r="B39">
        <v>2000</v>
      </c>
      <c r="C39">
        <v>3116.51</v>
      </c>
      <c r="D39">
        <v>4978.3</v>
      </c>
      <c r="E39" t="s">
        <v>18</v>
      </c>
    </row>
    <row r="40" spans="1:5">
      <c r="A40" t="s">
        <v>16</v>
      </c>
      <c r="B40">
        <v>2018</v>
      </c>
      <c r="C40">
        <v>7471.47</v>
      </c>
      <c r="D40">
        <v>1857.08</v>
      </c>
      <c r="E40" t="s">
        <v>8</v>
      </c>
    </row>
    <row r="41" spans="1:5">
      <c r="A41" t="s">
        <v>20</v>
      </c>
      <c r="B41">
        <v>2010</v>
      </c>
      <c r="C41">
        <v>6729.65</v>
      </c>
      <c r="D41">
        <v>943.71</v>
      </c>
      <c r="E41" t="s">
        <v>18</v>
      </c>
    </row>
    <row r="42" spans="1:5">
      <c r="A42" t="s">
        <v>5</v>
      </c>
      <c r="B42">
        <v>2004</v>
      </c>
      <c r="C42">
        <v>7737.7</v>
      </c>
      <c r="D42">
        <v>4891.3</v>
      </c>
      <c r="E42" t="s">
        <v>6</v>
      </c>
    </row>
    <row r="43" spans="1:5">
      <c r="A43" t="s">
        <v>7</v>
      </c>
      <c r="B43">
        <v>2011</v>
      </c>
      <c r="C43">
        <v>1432.23</v>
      </c>
      <c r="D43">
        <v>4719.77</v>
      </c>
      <c r="E43" t="s">
        <v>8</v>
      </c>
    </row>
    <row r="44" spans="1:5">
      <c r="A44" t="s">
        <v>22</v>
      </c>
      <c r="B44">
        <v>2002</v>
      </c>
      <c r="C44">
        <v>5981.51</v>
      </c>
      <c r="D44">
        <v>2203.51</v>
      </c>
      <c r="E44" t="s">
        <v>10</v>
      </c>
    </row>
    <row r="45" spans="1:5">
      <c r="A45" t="s">
        <v>16</v>
      </c>
      <c r="B45">
        <v>2000</v>
      </c>
      <c r="C45">
        <v>7537.55</v>
      </c>
      <c r="D45">
        <v>6675.7</v>
      </c>
      <c r="E45" t="s">
        <v>8</v>
      </c>
    </row>
    <row r="46" spans="1:5">
      <c r="A46" t="s">
        <v>13</v>
      </c>
      <c r="B46">
        <v>2000</v>
      </c>
      <c r="C46">
        <v>1859.25</v>
      </c>
      <c r="D46">
        <v>1396.98</v>
      </c>
      <c r="E46" t="s">
        <v>14</v>
      </c>
    </row>
    <row r="47" spans="1:5">
      <c r="A47" t="s">
        <v>16</v>
      </c>
      <c r="B47">
        <v>2007</v>
      </c>
      <c r="C47">
        <v>998.72</v>
      </c>
      <c r="D47">
        <v>3253.41</v>
      </c>
      <c r="E47" t="s">
        <v>8</v>
      </c>
    </row>
    <row r="48" spans="1:5">
      <c r="A48" t="s">
        <v>5</v>
      </c>
      <c r="B48">
        <v>2009</v>
      </c>
      <c r="C48">
        <v>6058.4</v>
      </c>
      <c r="D48">
        <v>6627.87</v>
      </c>
      <c r="E48" t="s">
        <v>6</v>
      </c>
    </row>
    <row r="49" spans="1:5">
      <c r="A49" t="s">
        <v>13</v>
      </c>
      <c r="B49">
        <v>2010</v>
      </c>
      <c r="C49">
        <v>4808.55</v>
      </c>
      <c r="D49">
        <v>3170.2</v>
      </c>
      <c r="E49" t="s">
        <v>14</v>
      </c>
    </row>
    <row r="50" spans="1:5">
      <c r="A50" t="s">
        <v>22</v>
      </c>
      <c r="B50">
        <v>2011</v>
      </c>
      <c r="C50">
        <v>6813.72</v>
      </c>
      <c r="D50">
        <v>4614.27</v>
      </c>
      <c r="E50" t="s">
        <v>10</v>
      </c>
    </row>
    <row r="51" spans="1:5">
      <c r="A51" t="s">
        <v>5</v>
      </c>
      <c r="B51">
        <v>2012</v>
      </c>
      <c r="C51">
        <v>1548.29</v>
      </c>
      <c r="D51">
        <v>3024.12</v>
      </c>
      <c r="E51" t="s">
        <v>6</v>
      </c>
    </row>
    <row r="52" spans="1:5">
      <c r="A52" t="s">
        <v>19</v>
      </c>
      <c r="B52">
        <v>2011</v>
      </c>
      <c r="C52">
        <v>6464.5</v>
      </c>
      <c r="D52">
        <v>2209.82</v>
      </c>
      <c r="E52" t="s">
        <v>10</v>
      </c>
    </row>
    <row r="53" spans="1:5">
      <c r="A53" t="s">
        <v>7</v>
      </c>
      <c r="B53">
        <v>2013</v>
      </c>
      <c r="C53">
        <v>2012.2</v>
      </c>
      <c r="D53">
        <v>6894.25</v>
      </c>
      <c r="E53" t="s">
        <v>8</v>
      </c>
    </row>
    <row r="54" spans="1:5">
      <c r="A54" t="s">
        <v>22</v>
      </c>
      <c r="B54">
        <v>2001</v>
      </c>
      <c r="C54">
        <v>1727.42</v>
      </c>
      <c r="D54">
        <v>3101.6</v>
      </c>
      <c r="E54" t="s">
        <v>10</v>
      </c>
    </row>
    <row r="55" spans="1:5">
      <c r="A55" t="s">
        <v>20</v>
      </c>
      <c r="B55">
        <v>2018</v>
      </c>
      <c r="C55">
        <v>1731.99</v>
      </c>
      <c r="D55">
        <v>6301.05</v>
      </c>
      <c r="E55" t="s">
        <v>18</v>
      </c>
    </row>
    <row r="56" spans="1:5">
      <c r="A56" t="s">
        <v>19</v>
      </c>
      <c r="B56">
        <v>2017</v>
      </c>
      <c r="C56">
        <v>6609.31</v>
      </c>
      <c r="D56">
        <v>1917.7</v>
      </c>
      <c r="E56" t="s">
        <v>10</v>
      </c>
    </row>
    <row r="57" spans="1:5">
      <c r="A57" t="s">
        <v>15</v>
      </c>
      <c r="B57">
        <v>2002</v>
      </c>
      <c r="C57">
        <v>5488.98</v>
      </c>
      <c r="D57">
        <v>1806.49</v>
      </c>
      <c r="E57" t="s">
        <v>8</v>
      </c>
    </row>
    <row r="58" spans="1:5">
      <c r="A58" t="s">
        <v>22</v>
      </c>
      <c r="B58">
        <v>2022</v>
      </c>
      <c r="C58">
        <v>4422.99</v>
      </c>
      <c r="D58">
        <v>605.48</v>
      </c>
      <c r="E58" t="s">
        <v>10</v>
      </c>
    </row>
    <row r="59" spans="1:5">
      <c r="A59" t="s">
        <v>15</v>
      </c>
      <c r="B59">
        <v>2016</v>
      </c>
      <c r="C59">
        <v>3191.23</v>
      </c>
      <c r="D59">
        <v>4701</v>
      </c>
      <c r="E59" t="s">
        <v>8</v>
      </c>
    </row>
    <row r="60" spans="1:5">
      <c r="A60" t="s">
        <v>13</v>
      </c>
      <c r="B60">
        <v>2007</v>
      </c>
      <c r="C60">
        <v>7079</v>
      </c>
      <c r="D60">
        <v>2832.27</v>
      </c>
      <c r="E60" t="s">
        <v>14</v>
      </c>
    </row>
    <row r="61" spans="1:5">
      <c r="A61" t="s">
        <v>19</v>
      </c>
      <c r="B61">
        <v>2009</v>
      </c>
      <c r="C61">
        <v>3443.34</v>
      </c>
      <c r="D61">
        <v>6104.76</v>
      </c>
      <c r="E61" t="s">
        <v>10</v>
      </c>
    </row>
    <row r="62" spans="1:5">
      <c r="A62" t="s">
        <v>7</v>
      </c>
      <c r="B62">
        <v>2001</v>
      </c>
      <c r="C62">
        <v>6624.5</v>
      </c>
      <c r="D62">
        <v>3523.19</v>
      </c>
      <c r="E62" t="s">
        <v>8</v>
      </c>
    </row>
    <row r="63" spans="1:5">
      <c r="A63" t="s">
        <v>20</v>
      </c>
      <c r="B63">
        <v>2018</v>
      </c>
      <c r="C63">
        <v>3793.51</v>
      </c>
      <c r="D63">
        <v>6790.08</v>
      </c>
      <c r="E63" t="s">
        <v>18</v>
      </c>
    </row>
    <row r="64" spans="1:5">
      <c r="A64" t="s">
        <v>20</v>
      </c>
      <c r="B64">
        <v>2008</v>
      </c>
      <c r="C64">
        <v>3327.08</v>
      </c>
      <c r="D64">
        <v>1624.47</v>
      </c>
      <c r="E64" t="s">
        <v>18</v>
      </c>
    </row>
    <row r="65" spans="1:5">
      <c r="A65" t="s">
        <v>5</v>
      </c>
      <c r="B65">
        <v>2006</v>
      </c>
      <c r="C65">
        <v>3970.1</v>
      </c>
      <c r="D65">
        <v>6132.91</v>
      </c>
      <c r="E65" t="s">
        <v>6</v>
      </c>
    </row>
    <row r="66" spans="1:5">
      <c r="A66" t="s">
        <v>20</v>
      </c>
      <c r="B66">
        <v>2003</v>
      </c>
      <c r="C66">
        <v>2760.33</v>
      </c>
      <c r="D66">
        <v>5525.54</v>
      </c>
      <c r="E66" t="s">
        <v>18</v>
      </c>
    </row>
    <row r="67" spans="1:5">
      <c r="A67" t="s">
        <v>11</v>
      </c>
      <c r="B67">
        <v>2020</v>
      </c>
      <c r="C67">
        <v>6107.07</v>
      </c>
      <c r="D67">
        <v>5488.08</v>
      </c>
      <c r="E67" t="s">
        <v>12</v>
      </c>
    </row>
    <row r="68" spans="1:5">
      <c r="A68" t="s">
        <v>16</v>
      </c>
      <c r="B68">
        <v>2017</v>
      </c>
      <c r="C68">
        <v>4270.4</v>
      </c>
      <c r="D68">
        <v>5975.57</v>
      </c>
      <c r="E68" t="s">
        <v>8</v>
      </c>
    </row>
    <row r="69" spans="1:5">
      <c r="A69" t="s">
        <v>21</v>
      </c>
      <c r="B69">
        <v>2012</v>
      </c>
      <c r="C69">
        <v>2241.6</v>
      </c>
      <c r="D69">
        <v>5422.76</v>
      </c>
      <c r="E69" t="s">
        <v>18</v>
      </c>
    </row>
    <row r="70" spans="1:5">
      <c r="A70" t="s">
        <v>7</v>
      </c>
      <c r="B70">
        <v>2010</v>
      </c>
      <c r="C70">
        <v>7246.81</v>
      </c>
      <c r="D70">
        <v>4533.05</v>
      </c>
      <c r="E70" t="s">
        <v>8</v>
      </c>
    </row>
    <row r="71" spans="1:5">
      <c r="A71" t="s">
        <v>19</v>
      </c>
      <c r="B71">
        <v>2023</v>
      </c>
      <c r="C71">
        <v>3379.18</v>
      </c>
      <c r="D71">
        <v>1266.22</v>
      </c>
      <c r="E71" t="s">
        <v>10</v>
      </c>
    </row>
    <row r="72" spans="1:5">
      <c r="A72" t="s">
        <v>11</v>
      </c>
      <c r="B72">
        <v>2003</v>
      </c>
      <c r="C72">
        <v>4576.65</v>
      </c>
      <c r="D72">
        <v>614.67</v>
      </c>
      <c r="E72" t="s">
        <v>12</v>
      </c>
    </row>
    <row r="73" spans="1:5">
      <c r="A73" t="s">
        <v>7</v>
      </c>
      <c r="B73">
        <v>2020</v>
      </c>
      <c r="C73">
        <v>7298.54</v>
      </c>
      <c r="D73">
        <v>6477.6</v>
      </c>
      <c r="E73" t="s">
        <v>8</v>
      </c>
    </row>
    <row r="74" spans="1:5">
      <c r="A74" t="s">
        <v>19</v>
      </c>
      <c r="B74">
        <v>2003</v>
      </c>
      <c r="C74">
        <v>5181.78</v>
      </c>
      <c r="D74">
        <v>4469.89</v>
      </c>
      <c r="E74" t="s">
        <v>10</v>
      </c>
    </row>
    <row r="75" spans="1:5">
      <c r="A75" t="s">
        <v>17</v>
      </c>
      <c r="B75">
        <v>2009</v>
      </c>
      <c r="C75">
        <v>1376.74</v>
      </c>
      <c r="D75">
        <v>5657.15</v>
      </c>
      <c r="E75" t="s">
        <v>18</v>
      </c>
    </row>
    <row r="76" spans="1:5">
      <c r="A76" t="s">
        <v>17</v>
      </c>
      <c r="B76">
        <v>2004</v>
      </c>
      <c r="C76">
        <v>7548.74</v>
      </c>
      <c r="D76">
        <v>3578.05</v>
      </c>
      <c r="E76" t="s">
        <v>18</v>
      </c>
    </row>
    <row r="77" spans="1:5">
      <c r="A77" t="s">
        <v>15</v>
      </c>
      <c r="B77">
        <v>2008</v>
      </c>
      <c r="C77">
        <v>5207.81</v>
      </c>
      <c r="D77">
        <v>1174.23</v>
      </c>
      <c r="E77" t="s">
        <v>8</v>
      </c>
    </row>
    <row r="78" spans="1:5">
      <c r="A78" t="s">
        <v>7</v>
      </c>
      <c r="B78">
        <v>2023</v>
      </c>
      <c r="C78">
        <v>3011.79</v>
      </c>
      <c r="D78">
        <v>1226.23</v>
      </c>
      <c r="E78" t="s">
        <v>8</v>
      </c>
    </row>
    <row r="79" spans="1:5">
      <c r="A79" t="s">
        <v>17</v>
      </c>
      <c r="B79">
        <v>2002</v>
      </c>
      <c r="C79">
        <v>1544.54</v>
      </c>
      <c r="D79">
        <v>4924.73</v>
      </c>
      <c r="E79" t="s">
        <v>18</v>
      </c>
    </row>
    <row r="80" spans="1:5">
      <c r="A80" t="s">
        <v>19</v>
      </c>
      <c r="B80">
        <v>2016</v>
      </c>
      <c r="C80">
        <v>6455.19</v>
      </c>
      <c r="D80">
        <v>3240.02</v>
      </c>
      <c r="E80" t="s">
        <v>10</v>
      </c>
    </row>
    <row r="81" spans="1:5">
      <c r="A81" t="s">
        <v>15</v>
      </c>
      <c r="B81">
        <v>2002</v>
      </c>
      <c r="C81">
        <v>5150.55</v>
      </c>
      <c r="D81">
        <v>1723.46</v>
      </c>
      <c r="E81" t="s">
        <v>8</v>
      </c>
    </row>
    <row r="82" spans="1:5">
      <c r="A82" t="s">
        <v>20</v>
      </c>
      <c r="B82">
        <v>2015</v>
      </c>
      <c r="C82">
        <v>4500.96</v>
      </c>
      <c r="D82">
        <v>3644.52</v>
      </c>
      <c r="E82" t="s">
        <v>18</v>
      </c>
    </row>
    <row r="83" spans="1:5">
      <c r="A83" t="s">
        <v>19</v>
      </c>
      <c r="B83">
        <v>2003</v>
      </c>
      <c r="C83">
        <v>7204.19</v>
      </c>
      <c r="D83">
        <v>823.78</v>
      </c>
      <c r="E83" t="s">
        <v>10</v>
      </c>
    </row>
    <row r="84" spans="1:5">
      <c r="A84" t="s">
        <v>15</v>
      </c>
      <c r="B84">
        <v>2017</v>
      </c>
      <c r="C84">
        <v>6414.48</v>
      </c>
      <c r="D84">
        <v>4241.01</v>
      </c>
      <c r="E84" t="s">
        <v>8</v>
      </c>
    </row>
    <row r="85" spans="1:5">
      <c r="A85" t="s">
        <v>7</v>
      </c>
      <c r="B85">
        <v>2016</v>
      </c>
      <c r="C85">
        <v>1637.56</v>
      </c>
      <c r="D85">
        <v>2175.36</v>
      </c>
      <c r="E85" t="s">
        <v>8</v>
      </c>
    </row>
    <row r="86" spans="1:5">
      <c r="A86" t="s">
        <v>11</v>
      </c>
      <c r="B86">
        <v>2006</v>
      </c>
      <c r="C86">
        <v>2837.92</v>
      </c>
      <c r="D86">
        <v>5663.89</v>
      </c>
      <c r="E86" t="s">
        <v>12</v>
      </c>
    </row>
    <row r="87" spans="1:5">
      <c r="A87" t="s">
        <v>5</v>
      </c>
      <c r="B87">
        <v>2023</v>
      </c>
      <c r="C87">
        <v>2363.67</v>
      </c>
      <c r="D87">
        <v>2448.39</v>
      </c>
      <c r="E87" t="s">
        <v>6</v>
      </c>
    </row>
    <row r="88" spans="1:5">
      <c r="A88" t="s">
        <v>20</v>
      </c>
      <c r="B88">
        <v>2022</v>
      </c>
      <c r="C88">
        <v>6079.6</v>
      </c>
      <c r="D88">
        <v>3404.45</v>
      </c>
      <c r="E88" t="s">
        <v>18</v>
      </c>
    </row>
    <row r="89" spans="1:5">
      <c r="A89" t="s">
        <v>22</v>
      </c>
      <c r="B89">
        <v>2004</v>
      </c>
      <c r="C89">
        <v>751.49</v>
      </c>
      <c r="D89">
        <v>476.7</v>
      </c>
      <c r="E89" t="s">
        <v>10</v>
      </c>
    </row>
    <row r="90" spans="1:5">
      <c r="A90" t="s">
        <v>11</v>
      </c>
      <c r="B90">
        <v>2011</v>
      </c>
      <c r="C90">
        <v>4774.17</v>
      </c>
      <c r="D90">
        <v>878.15</v>
      </c>
      <c r="E90" t="s">
        <v>12</v>
      </c>
    </row>
    <row r="91" spans="1:5">
      <c r="A91" t="s">
        <v>13</v>
      </c>
      <c r="B91">
        <v>2016</v>
      </c>
      <c r="C91">
        <v>6218.44</v>
      </c>
      <c r="D91">
        <v>2990.46</v>
      </c>
      <c r="E91" t="s">
        <v>14</v>
      </c>
    </row>
    <row r="92" spans="1:5">
      <c r="A92" t="s">
        <v>19</v>
      </c>
      <c r="B92">
        <v>2022</v>
      </c>
      <c r="C92">
        <v>7075.74</v>
      </c>
      <c r="D92">
        <v>3567.6</v>
      </c>
      <c r="E92" t="s">
        <v>10</v>
      </c>
    </row>
    <row r="93" spans="1:5">
      <c r="A93" t="s">
        <v>13</v>
      </c>
      <c r="B93">
        <v>2012</v>
      </c>
      <c r="C93">
        <v>3065.61</v>
      </c>
      <c r="D93">
        <v>4360.14</v>
      </c>
      <c r="E93" t="s">
        <v>14</v>
      </c>
    </row>
    <row r="94" spans="1:5">
      <c r="A94" t="s">
        <v>11</v>
      </c>
      <c r="B94">
        <v>2022</v>
      </c>
      <c r="C94">
        <v>6659.43</v>
      </c>
      <c r="D94">
        <v>2324.97</v>
      </c>
      <c r="E94" t="s">
        <v>12</v>
      </c>
    </row>
    <row r="95" spans="1:5">
      <c r="A95" t="s">
        <v>15</v>
      </c>
      <c r="B95">
        <v>2002</v>
      </c>
      <c r="C95">
        <v>1329.74</v>
      </c>
      <c r="D95">
        <v>4986.88</v>
      </c>
      <c r="E95" t="s">
        <v>8</v>
      </c>
    </row>
    <row r="96" spans="1:5">
      <c r="A96" t="s">
        <v>22</v>
      </c>
      <c r="B96">
        <v>2008</v>
      </c>
      <c r="C96">
        <v>6848.39</v>
      </c>
      <c r="D96">
        <v>6076.81</v>
      </c>
      <c r="E96" t="s">
        <v>10</v>
      </c>
    </row>
    <row r="97" spans="1:5">
      <c r="A97" t="s">
        <v>20</v>
      </c>
      <c r="B97">
        <v>2016</v>
      </c>
      <c r="C97">
        <v>1456.16</v>
      </c>
      <c r="D97">
        <v>5547.02</v>
      </c>
      <c r="E97" t="s">
        <v>18</v>
      </c>
    </row>
    <row r="98" spans="1:5">
      <c r="A98" t="s">
        <v>20</v>
      </c>
      <c r="B98">
        <v>2016</v>
      </c>
      <c r="C98">
        <v>3479.65</v>
      </c>
      <c r="D98">
        <v>661.48</v>
      </c>
      <c r="E98" t="s">
        <v>18</v>
      </c>
    </row>
    <row r="99" spans="1:5">
      <c r="A99" t="s">
        <v>20</v>
      </c>
      <c r="B99">
        <v>2019</v>
      </c>
      <c r="C99">
        <v>6479.72</v>
      </c>
      <c r="D99">
        <v>3571.35</v>
      </c>
      <c r="E99" t="s">
        <v>18</v>
      </c>
    </row>
    <row r="100" spans="1:5">
      <c r="A100" t="s">
        <v>22</v>
      </c>
      <c r="B100">
        <v>2015</v>
      </c>
      <c r="C100">
        <v>1624.38</v>
      </c>
      <c r="D100">
        <v>1092.54</v>
      </c>
      <c r="E100" t="s">
        <v>10</v>
      </c>
    </row>
    <row r="101" spans="1:5">
      <c r="A101" t="s">
        <v>21</v>
      </c>
      <c r="B101">
        <v>2021</v>
      </c>
      <c r="C101">
        <v>2219.39</v>
      </c>
      <c r="D101">
        <v>1997.5</v>
      </c>
      <c r="E101" t="s">
        <v>18</v>
      </c>
    </row>
    <row r="102" spans="1:5">
      <c r="A102" t="s">
        <v>22</v>
      </c>
      <c r="B102">
        <v>2012</v>
      </c>
      <c r="C102">
        <v>5916.89</v>
      </c>
      <c r="D102">
        <v>6911.97</v>
      </c>
      <c r="E102" t="s">
        <v>10</v>
      </c>
    </row>
    <row r="103" spans="1:5">
      <c r="A103" t="s">
        <v>5</v>
      </c>
      <c r="B103">
        <v>2018</v>
      </c>
      <c r="C103">
        <v>5900.27</v>
      </c>
      <c r="D103">
        <v>1340.47</v>
      </c>
      <c r="E103" t="s">
        <v>6</v>
      </c>
    </row>
    <row r="104" spans="1:5">
      <c r="A104" t="s">
        <v>22</v>
      </c>
      <c r="B104">
        <v>2016</v>
      </c>
      <c r="C104">
        <v>5308.61</v>
      </c>
      <c r="D104">
        <v>3692.66</v>
      </c>
      <c r="E104" t="s">
        <v>10</v>
      </c>
    </row>
    <row r="105" spans="1:5">
      <c r="A105" t="s">
        <v>11</v>
      </c>
      <c r="B105">
        <v>2003</v>
      </c>
      <c r="C105">
        <v>5704.61</v>
      </c>
      <c r="D105">
        <v>4479.83</v>
      </c>
      <c r="E105" t="s">
        <v>12</v>
      </c>
    </row>
    <row r="106" spans="1:5">
      <c r="A106" t="s">
        <v>21</v>
      </c>
      <c r="B106">
        <v>2011</v>
      </c>
      <c r="C106">
        <v>4570.43</v>
      </c>
      <c r="D106">
        <v>5036.27</v>
      </c>
      <c r="E106" t="s">
        <v>18</v>
      </c>
    </row>
    <row r="107" spans="1:5">
      <c r="A107" t="s">
        <v>20</v>
      </c>
      <c r="B107">
        <v>2008</v>
      </c>
      <c r="C107">
        <v>2388.49</v>
      </c>
      <c r="D107">
        <v>4093.68</v>
      </c>
      <c r="E107" t="s">
        <v>18</v>
      </c>
    </row>
    <row r="108" spans="1:5">
      <c r="A108" t="s">
        <v>11</v>
      </c>
      <c r="B108">
        <v>2018</v>
      </c>
      <c r="C108">
        <v>3092.72</v>
      </c>
      <c r="D108">
        <v>464.49</v>
      </c>
      <c r="E108" t="s">
        <v>12</v>
      </c>
    </row>
    <row r="109" spans="1:5">
      <c r="A109" t="s">
        <v>11</v>
      </c>
      <c r="B109">
        <v>2011</v>
      </c>
      <c r="C109">
        <v>1861.98</v>
      </c>
      <c r="D109">
        <v>2554.64</v>
      </c>
      <c r="E109" t="s">
        <v>12</v>
      </c>
    </row>
    <row r="110" spans="1:5">
      <c r="A110" t="s">
        <v>9</v>
      </c>
      <c r="B110">
        <v>2008</v>
      </c>
      <c r="C110">
        <v>7313.38</v>
      </c>
      <c r="D110">
        <v>3816.9</v>
      </c>
      <c r="E110" t="s">
        <v>10</v>
      </c>
    </row>
    <row r="111" spans="1:5">
      <c r="A111" t="s">
        <v>16</v>
      </c>
      <c r="B111">
        <v>2006</v>
      </c>
      <c r="C111">
        <v>4875.44</v>
      </c>
      <c r="D111">
        <v>979.92</v>
      </c>
      <c r="E111" t="s">
        <v>8</v>
      </c>
    </row>
    <row r="112" spans="1:5">
      <c r="A112" t="s">
        <v>21</v>
      </c>
      <c r="B112">
        <v>2013</v>
      </c>
      <c r="C112">
        <v>3506.39</v>
      </c>
      <c r="D112">
        <v>2714.14</v>
      </c>
      <c r="E112" t="s">
        <v>18</v>
      </c>
    </row>
    <row r="113" spans="1:5">
      <c r="A113" t="s">
        <v>11</v>
      </c>
      <c r="B113">
        <v>2019</v>
      </c>
      <c r="C113">
        <v>3965.04</v>
      </c>
      <c r="D113">
        <v>619.14</v>
      </c>
      <c r="E113" t="s">
        <v>12</v>
      </c>
    </row>
    <row r="114" spans="1:5">
      <c r="A114" t="s">
        <v>16</v>
      </c>
      <c r="B114">
        <v>2018</v>
      </c>
      <c r="C114">
        <v>7604.63</v>
      </c>
      <c r="D114">
        <v>918.62</v>
      </c>
      <c r="E114" t="s">
        <v>8</v>
      </c>
    </row>
    <row r="115" spans="1:5">
      <c r="A115" t="s">
        <v>16</v>
      </c>
      <c r="B115">
        <v>2014</v>
      </c>
      <c r="C115">
        <v>1650.14</v>
      </c>
      <c r="D115">
        <v>3019.69</v>
      </c>
      <c r="E115" t="s">
        <v>8</v>
      </c>
    </row>
    <row r="116" spans="1:5">
      <c r="A116" t="s">
        <v>21</v>
      </c>
      <c r="B116">
        <v>2015</v>
      </c>
      <c r="C116">
        <v>4896.72</v>
      </c>
      <c r="D116">
        <v>1275.92</v>
      </c>
      <c r="E116" t="s">
        <v>18</v>
      </c>
    </row>
    <row r="117" spans="1:5">
      <c r="A117" t="s">
        <v>9</v>
      </c>
      <c r="B117">
        <v>2020</v>
      </c>
      <c r="C117">
        <v>4294.17</v>
      </c>
      <c r="D117">
        <v>4145.77</v>
      </c>
      <c r="E117" t="s">
        <v>10</v>
      </c>
    </row>
    <row r="118" spans="1:5">
      <c r="A118" t="s">
        <v>13</v>
      </c>
      <c r="B118">
        <v>2004</v>
      </c>
      <c r="C118">
        <v>5085.91</v>
      </c>
      <c r="D118">
        <v>4950.47</v>
      </c>
      <c r="E118" t="s">
        <v>14</v>
      </c>
    </row>
    <row r="119" spans="1:5">
      <c r="A119" t="s">
        <v>15</v>
      </c>
      <c r="B119">
        <v>2002</v>
      </c>
      <c r="C119">
        <v>635.83</v>
      </c>
      <c r="D119">
        <v>5683.87</v>
      </c>
      <c r="E119" t="s">
        <v>8</v>
      </c>
    </row>
    <row r="120" spans="1:5">
      <c r="A120" t="s">
        <v>5</v>
      </c>
      <c r="B120">
        <v>2011</v>
      </c>
      <c r="C120">
        <v>7040.93</v>
      </c>
      <c r="D120">
        <v>1720.99</v>
      </c>
      <c r="E120" t="s">
        <v>6</v>
      </c>
    </row>
    <row r="121" spans="1:5">
      <c r="A121" t="s">
        <v>15</v>
      </c>
      <c r="B121">
        <v>2019</v>
      </c>
      <c r="C121">
        <v>7490.89</v>
      </c>
      <c r="D121">
        <v>1505.39</v>
      </c>
      <c r="E121" t="s">
        <v>8</v>
      </c>
    </row>
    <row r="122" spans="1:5">
      <c r="A122" t="s">
        <v>22</v>
      </c>
      <c r="B122">
        <v>2020</v>
      </c>
      <c r="C122">
        <v>4738.5</v>
      </c>
      <c r="D122">
        <v>1090.15</v>
      </c>
      <c r="E122" t="s">
        <v>10</v>
      </c>
    </row>
    <row r="123" spans="1:5">
      <c r="A123" t="s">
        <v>20</v>
      </c>
      <c r="B123">
        <v>2003</v>
      </c>
      <c r="C123">
        <v>5724.88</v>
      </c>
      <c r="D123">
        <v>4600.44</v>
      </c>
      <c r="E123" t="s">
        <v>18</v>
      </c>
    </row>
    <row r="124" spans="1:5">
      <c r="A124" t="s">
        <v>5</v>
      </c>
      <c r="B124">
        <v>2020</v>
      </c>
      <c r="C124">
        <v>7418.75</v>
      </c>
      <c r="D124">
        <v>5062.74</v>
      </c>
      <c r="E124" t="s">
        <v>6</v>
      </c>
    </row>
    <row r="125" spans="1:5">
      <c r="A125" t="s">
        <v>22</v>
      </c>
      <c r="B125">
        <v>2022</v>
      </c>
      <c r="C125">
        <v>5804.29</v>
      </c>
      <c r="D125">
        <v>608.47</v>
      </c>
      <c r="E125" t="s">
        <v>10</v>
      </c>
    </row>
    <row r="126" spans="1:5">
      <c r="A126" t="s">
        <v>11</v>
      </c>
      <c r="B126">
        <v>2015</v>
      </c>
      <c r="C126">
        <v>1644.04</v>
      </c>
      <c r="D126">
        <v>6579</v>
      </c>
      <c r="E126" t="s">
        <v>12</v>
      </c>
    </row>
    <row r="127" spans="1:5">
      <c r="A127" t="s">
        <v>20</v>
      </c>
      <c r="B127">
        <v>2006</v>
      </c>
      <c r="C127">
        <v>4822.16</v>
      </c>
      <c r="D127">
        <v>743.01</v>
      </c>
      <c r="E127" t="s">
        <v>18</v>
      </c>
    </row>
    <row r="128" spans="1:5">
      <c r="A128" t="s">
        <v>19</v>
      </c>
      <c r="B128">
        <v>2012</v>
      </c>
      <c r="C128">
        <v>5050.36</v>
      </c>
      <c r="D128">
        <v>3972.56</v>
      </c>
      <c r="E128" t="s">
        <v>10</v>
      </c>
    </row>
    <row r="129" spans="1:5">
      <c r="A129" t="s">
        <v>21</v>
      </c>
      <c r="B129">
        <v>2020</v>
      </c>
      <c r="C129">
        <v>3680.98</v>
      </c>
      <c r="D129">
        <v>5079.8</v>
      </c>
      <c r="E129" t="s">
        <v>18</v>
      </c>
    </row>
    <row r="130" spans="1:5">
      <c r="A130" t="s">
        <v>5</v>
      </c>
      <c r="B130">
        <v>2009</v>
      </c>
      <c r="C130">
        <v>6023.33</v>
      </c>
      <c r="D130">
        <v>6148.4</v>
      </c>
      <c r="E130" t="s">
        <v>6</v>
      </c>
    </row>
    <row r="131" spans="1:5">
      <c r="A131" t="s">
        <v>5</v>
      </c>
      <c r="B131">
        <v>2006</v>
      </c>
      <c r="C131">
        <v>7507.75</v>
      </c>
      <c r="D131">
        <v>5112.97</v>
      </c>
      <c r="E131" t="s">
        <v>6</v>
      </c>
    </row>
    <row r="132" spans="1:5">
      <c r="A132" t="s">
        <v>11</v>
      </c>
      <c r="B132">
        <v>2013</v>
      </c>
      <c r="C132">
        <v>7441.76</v>
      </c>
      <c r="D132">
        <v>5691.41</v>
      </c>
      <c r="E132" t="s">
        <v>12</v>
      </c>
    </row>
    <row r="133" spans="1:5">
      <c r="A133" t="s">
        <v>13</v>
      </c>
      <c r="B133">
        <v>2004</v>
      </c>
      <c r="C133">
        <v>3881.3</v>
      </c>
      <c r="D133">
        <v>2640.37</v>
      </c>
      <c r="E133" t="s">
        <v>14</v>
      </c>
    </row>
    <row r="134" spans="1:5">
      <c r="A134" t="s">
        <v>16</v>
      </c>
      <c r="B134">
        <v>2002</v>
      </c>
      <c r="C134">
        <v>1349.29</v>
      </c>
      <c r="D134">
        <v>5777.85</v>
      </c>
      <c r="E134" t="s">
        <v>8</v>
      </c>
    </row>
    <row r="135" spans="1:5">
      <c r="A135" t="s">
        <v>20</v>
      </c>
      <c r="B135">
        <v>2022</v>
      </c>
      <c r="C135">
        <v>7886.31</v>
      </c>
      <c r="D135">
        <v>928.76</v>
      </c>
      <c r="E135" t="s">
        <v>18</v>
      </c>
    </row>
    <row r="136" spans="1:5">
      <c r="A136" t="s">
        <v>11</v>
      </c>
      <c r="B136">
        <v>2010</v>
      </c>
      <c r="C136">
        <v>6791.74</v>
      </c>
      <c r="D136">
        <v>6305.79</v>
      </c>
      <c r="E136" t="s">
        <v>12</v>
      </c>
    </row>
    <row r="137" spans="1:5">
      <c r="A137" t="s">
        <v>17</v>
      </c>
      <c r="B137">
        <v>2010</v>
      </c>
      <c r="C137">
        <v>1434.97</v>
      </c>
      <c r="D137">
        <v>4014.11</v>
      </c>
      <c r="E137" t="s">
        <v>18</v>
      </c>
    </row>
    <row r="138" spans="1:5">
      <c r="A138" t="s">
        <v>9</v>
      </c>
      <c r="B138">
        <v>2017</v>
      </c>
      <c r="C138">
        <v>7406.31</v>
      </c>
      <c r="D138">
        <v>5794.17</v>
      </c>
      <c r="E138" t="s">
        <v>10</v>
      </c>
    </row>
    <row r="139" spans="1:5">
      <c r="A139" t="s">
        <v>16</v>
      </c>
      <c r="B139">
        <v>2014</v>
      </c>
      <c r="C139">
        <v>7024.22</v>
      </c>
      <c r="D139">
        <v>3385.3</v>
      </c>
      <c r="E139" t="s">
        <v>8</v>
      </c>
    </row>
    <row r="140" spans="1:5">
      <c r="A140" t="s">
        <v>21</v>
      </c>
      <c r="B140">
        <v>2011</v>
      </c>
      <c r="C140">
        <v>4391.29</v>
      </c>
      <c r="D140">
        <v>4647.61</v>
      </c>
      <c r="E140" t="s">
        <v>18</v>
      </c>
    </row>
    <row r="141" spans="1:5">
      <c r="A141" t="s">
        <v>16</v>
      </c>
      <c r="B141">
        <v>2008</v>
      </c>
      <c r="C141">
        <v>4934.57</v>
      </c>
      <c r="D141">
        <v>3874.26</v>
      </c>
      <c r="E141" t="s">
        <v>8</v>
      </c>
    </row>
    <row r="142" spans="1:5">
      <c r="A142" t="s">
        <v>13</v>
      </c>
      <c r="B142">
        <v>2009</v>
      </c>
      <c r="C142">
        <v>3492.52</v>
      </c>
      <c r="D142">
        <v>5228.49</v>
      </c>
      <c r="E142" t="s">
        <v>14</v>
      </c>
    </row>
    <row r="143" spans="1:5">
      <c r="A143" t="s">
        <v>16</v>
      </c>
      <c r="B143">
        <v>2011</v>
      </c>
      <c r="C143">
        <v>910.71</v>
      </c>
      <c r="D143">
        <v>938.76</v>
      </c>
      <c r="E143" t="s">
        <v>8</v>
      </c>
    </row>
    <row r="144" spans="1:5">
      <c r="A144" t="s">
        <v>21</v>
      </c>
      <c r="B144">
        <v>2016</v>
      </c>
      <c r="C144">
        <v>3013.98</v>
      </c>
      <c r="D144">
        <v>798.32</v>
      </c>
      <c r="E144" t="s">
        <v>18</v>
      </c>
    </row>
    <row r="145" spans="1:5">
      <c r="A145" t="s">
        <v>13</v>
      </c>
      <c r="B145">
        <v>2005</v>
      </c>
      <c r="C145">
        <v>6521.4</v>
      </c>
      <c r="D145">
        <v>2030.88</v>
      </c>
      <c r="E145" t="s">
        <v>14</v>
      </c>
    </row>
    <row r="146" spans="1:5">
      <c r="A146" t="s">
        <v>15</v>
      </c>
      <c r="B146">
        <v>2006</v>
      </c>
      <c r="C146">
        <v>534.74</v>
      </c>
      <c r="D146">
        <v>1452.99</v>
      </c>
      <c r="E146" t="s">
        <v>8</v>
      </c>
    </row>
    <row r="147" spans="1:5">
      <c r="A147" t="s">
        <v>5</v>
      </c>
      <c r="B147">
        <v>2013</v>
      </c>
      <c r="C147">
        <v>3001.24</v>
      </c>
      <c r="D147">
        <v>6153.77</v>
      </c>
      <c r="E147" t="s">
        <v>6</v>
      </c>
    </row>
    <row r="148" spans="1:5">
      <c r="A148" t="s">
        <v>5</v>
      </c>
      <c r="B148">
        <v>2012</v>
      </c>
      <c r="C148">
        <v>3486.27</v>
      </c>
      <c r="D148">
        <v>1846.81</v>
      </c>
      <c r="E148" t="s">
        <v>6</v>
      </c>
    </row>
    <row r="149" spans="1:5">
      <c r="A149" t="s">
        <v>9</v>
      </c>
      <c r="B149">
        <v>2007</v>
      </c>
      <c r="C149">
        <v>4530.47</v>
      </c>
      <c r="D149">
        <v>6840.71</v>
      </c>
      <c r="E149" t="s">
        <v>10</v>
      </c>
    </row>
    <row r="150" spans="1:5">
      <c r="A150" t="s">
        <v>22</v>
      </c>
      <c r="B150">
        <v>2009</v>
      </c>
      <c r="C150">
        <v>7398.92</v>
      </c>
      <c r="D150">
        <v>2623.51</v>
      </c>
      <c r="E150" t="s">
        <v>10</v>
      </c>
    </row>
    <row r="151" spans="1:5">
      <c r="A151" t="s">
        <v>15</v>
      </c>
      <c r="B151">
        <v>2008</v>
      </c>
      <c r="C151">
        <v>3097.59</v>
      </c>
      <c r="D151">
        <v>1601.98</v>
      </c>
      <c r="E151" t="s">
        <v>8</v>
      </c>
    </row>
    <row r="152" spans="1:5">
      <c r="A152" t="s">
        <v>15</v>
      </c>
      <c r="B152">
        <v>2017</v>
      </c>
      <c r="C152">
        <v>3102.15</v>
      </c>
      <c r="D152">
        <v>5612.01</v>
      </c>
      <c r="E152" t="s">
        <v>8</v>
      </c>
    </row>
    <row r="153" spans="1:5">
      <c r="A153" t="s">
        <v>20</v>
      </c>
      <c r="B153">
        <v>2001</v>
      </c>
      <c r="C153">
        <v>6031.26</v>
      </c>
      <c r="D153">
        <v>4747.47</v>
      </c>
      <c r="E153" t="s">
        <v>18</v>
      </c>
    </row>
    <row r="154" spans="1:5">
      <c r="A154" t="s">
        <v>16</v>
      </c>
      <c r="B154">
        <v>2004</v>
      </c>
      <c r="C154">
        <v>3891.63</v>
      </c>
      <c r="D154">
        <v>3688.09</v>
      </c>
      <c r="E154" t="s">
        <v>8</v>
      </c>
    </row>
    <row r="155" spans="1:5">
      <c r="A155" t="s">
        <v>5</v>
      </c>
      <c r="B155">
        <v>2004</v>
      </c>
      <c r="C155">
        <v>2184.54</v>
      </c>
      <c r="D155">
        <v>4065.4</v>
      </c>
      <c r="E155" t="s">
        <v>6</v>
      </c>
    </row>
    <row r="156" spans="1:5">
      <c r="A156" t="s">
        <v>21</v>
      </c>
      <c r="B156">
        <v>2005</v>
      </c>
      <c r="C156">
        <v>3893.3</v>
      </c>
      <c r="D156">
        <v>5146.73</v>
      </c>
      <c r="E156" t="s">
        <v>18</v>
      </c>
    </row>
    <row r="157" spans="1:5">
      <c r="A157" t="s">
        <v>7</v>
      </c>
      <c r="B157">
        <v>2018</v>
      </c>
      <c r="C157">
        <v>1556.43</v>
      </c>
      <c r="D157">
        <v>1907.8</v>
      </c>
      <c r="E157" t="s">
        <v>8</v>
      </c>
    </row>
    <row r="158" spans="1:5">
      <c r="A158" t="s">
        <v>7</v>
      </c>
      <c r="B158">
        <v>2007</v>
      </c>
      <c r="C158">
        <v>1822.9</v>
      </c>
      <c r="D158">
        <v>6975.8</v>
      </c>
      <c r="E158" t="s">
        <v>8</v>
      </c>
    </row>
    <row r="159" spans="1:5">
      <c r="A159" t="s">
        <v>13</v>
      </c>
      <c r="B159">
        <v>2015</v>
      </c>
      <c r="C159">
        <v>4237.76</v>
      </c>
      <c r="D159">
        <v>6833.63</v>
      </c>
      <c r="E159" t="s">
        <v>14</v>
      </c>
    </row>
    <row r="160" spans="1:5">
      <c r="A160" t="s">
        <v>5</v>
      </c>
      <c r="B160">
        <v>2012</v>
      </c>
      <c r="D160">
        <v>4692.15</v>
      </c>
      <c r="E160" t="s">
        <v>6</v>
      </c>
    </row>
    <row r="161" spans="1:5">
      <c r="A161" t="s">
        <v>5</v>
      </c>
      <c r="B161">
        <v>2000</v>
      </c>
      <c r="C161">
        <v>7361.34</v>
      </c>
      <c r="D161">
        <v>1716.98</v>
      </c>
      <c r="E161" t="s">
        <v>6</v>
      </c>
    </row>
    <row r="162" spans="1:5">
      <c r="A162" t="s">
        <v>9</v>
      </c>
      <c r="B162">
        <v>2021</v>
      </c>
      <c r="C162">
        <v>3217.95</v>
      </c>
      <c r="D162">
        <v>4889.51</v>
      </c>
      <c r="E162" t="s">
        <v>10</v>
      </c>
    </row>
    <row r="163" spans="1:5">
      <c r="A163" t="s">
        <v>7</v>
      </c>
      <c r="B163">
        <v>2019</v>
      </c>
      <c r="C163">
        <v>4854.41</v>
      </c>
      <c r="D163">
        <v>876.51</v>
      </c>
      <c r="E163" t="s">
        <v>8</v>
      </c>
    </row>
    <row r="164" spans="1:5">
      <c r="A164" t="s">
        <v>5</v>
      </c>
      <c r="B164">
        <v>2016</v>
      </c>
      <c r="C164">
        <v>5241.98</v>
      </c>
      <c r="D164">
        <v>602.31</v>
      </c>
      <c r="E164" t="s">
        <v>6</v>
      </c>
    </row>
    <row r="165" spans="1:5">
      <c r="A165" t="s">
        <v>9</v>
      </c>
      <c r="B165">
        <v>2006</v>
      </c>
      <c r="C165">
        <v>598.21</v>
      </c>
      <c r="D165">
        <v>2100.71</v>
      </c>
      <c r="E165" t="s">
        <v>10</v>
      </c>
    </row>
    <row r="166" spans="1:5">
      <c r="A166" t="s">
        <v>16</v>
      </c>
      <c r="B166">
        <v>2012</v>
      </c>
      <c r="C166">
        <v>5476.53</v>
      </c>
      <c r="D166">
        <v>3453.31</v>
      </c>
      <c r="E166" t="s">
        <v>8</v>
      </c>
    </row>
    <row r="167" spans="1:5">
      <c r="A167" t="s">
        <v>17</v>
      </c>
      <c r="B167">
        <v>2003</v>
      </c>
      <c r="C167">
        <v>1835.27</v>
      </c>
      <c r="D167">
        <v>6130.6</v>
      </c>
      <c r="E167" t="s">
        <v>18</v>
      </c>
    </row>
    <row r="168" spans="1:5">
      <c r="A168" t="s">
        <v>20</v>
      </c>
      <c r="B168">
        <v>2003</v>
      </c>
      <c r="C168">
        <v>7708.03</v>
      </c>
      <c r="D168">
        <v>5199.32</v>
      </c>
      <c r="E168" t="s">
        <v>18</v>
      </c>
    </row>
    <row r="169" spans="1:5">
      <c r="A169" t="s">
        <v>19</v>
      </c>
      <c r="B169">
        <v>2005</v>
      </c>
      <c r="C169">
        <v>1614.97</v>
      </c>
      <c r="D169">
        <v>5301.86</v>
      </c>
      <c r="E169" t="s">
        <v>10</v>
      </c>
    </row>
    <row r="170" spans="1:5">
      <c r="A170" t="s">
        <v>15</v>
      </c>
      <c r="B170">
        <v>2018</v>
      </c>
      <c r="C170">
        <v>3609.68</v>
      </c>
      <c r="D170">
        <v>3208.26</v>
      </c>
      <c r="E170" t="s">
        <v>8</v>
      </c>
    </row>
    <row r="171" spans="1:5">
      <c r="A171" t="s">
        <v>22</v>
      </c>
      <c r="B171">
        <v>2011</v>
      </c>
      <c r="C171">
        <v>1140.12</v>
      </c>
      <c r="D171">
        <v>2683.17</v>
      </c>
      <c r="E171" t="s">
        <v>10</v>
      </c>
    </row>
    <row r="172" spans="1:5">
      <c r="A172" t="s">
        <v>13</v>
      </c>
      <c r="B172">
        <v>2021</v>
      </c>
      <c r="C172">
        <v>7976.56</v>
      </c>
      <c r="D172">
        <v>2848.86</v>
      </c>
      <c r="E172" t="s">
        <v>14</v>
      </c>
    </row>
    <row r="173" spans="1:5">
      <c r="A173" t="s">
        <v>17</v>
      </c>
      <c r="B173">
        <v>2006</v>
      </c>
      <c r="C173">
        <v>4266.46</v>
      </c>
      <c r="D173">
        <v>6918.49</v>
      </c>
      <c r="E173" t="s">
        <v>18</v>
      </c>
    </row>
    <row r="174" spans="1:5">
      <c r="A174" t="s">
        <v>20</v>
      </c>
      <c r="B174">
        <v>2009</v>
      </c>
      <c r="C174">
        <v>4965.39</v>
      </c>
      <c r="D174">
        <v>664.72</v>
      </c>
      <c r="E174" t="s">
        <v>18</v>
      </c>
    </row>
    <row r="175" spans="1:5">
      <c r="A175" t="s">
        <v>20</v>
      </c>
      <c r="B175">
        <v>2018</v>
      </c>
      <c r="C175">
        <v>1003.07</v>
      </c>
      <c r="D175">
        <v>6122.41</v>
      </c>
      <c r="E175" t="s">
        <v>18</v>
      </c>
    </row>
    <row r="176" spans="1:5">
      <c r="A176" t="s">
        <v>20</v>
      </c>
      <c r="B176">
        <v>2006</v>
      </c>
      <c r="D176">
        <v>4219.26</v>
      </c>
      <c r="E176" t="s">
        <v>18</v>
      </c>
    </row>
    <row r="177" spans="1:5">
      <c r="A177" t="s">
        <v>20</v>
      </c>
      <c r="B177">
        <v>2002</v>
      </c>
      <c r="C177">
        <v>2074.29</v>
      </c>
      <c r="D177">
        <v>3294.86</v>
      </c>
      <c r="E177" t="s">
        <v>18</v>
      </c>
    </row>
    <row r="178" spans="1:5">
      <c r="A178" t="s">
        <v>7</v>
      </c>
      <c r="B178">
        <v>2012</v>
      </c>
      <c r="C178">
        <v>7235.41</v>
      </c>
      <c r="D178">
        <v>5186.7</v>
      </c>
      <c r="E178" t="s">
        <v>8</v>
      </c>
    </row>
    <row r="179" spans="1:5">
      <c r="A179" t="s">
        <v>9</v>
      </c>
      <c r="B179">
        <v>2012</v>
      </c>
      <c r="C179">
        <v>2038.55</v>
      </c>
      <c r="D179">
        <v>3612.02</v>
      </c>
      <c r="E179" t="s">
        <v>10</v>
      </c>
    </row>
    <row r="180" spans="1:5">
      <c r="A180" t="s">
        <v>15</v>
      </c>
      <c r="B180">
        <v>2017</v>
      </c>
      <c r="C180">
        <v>1930.16</v>
      </c>
      <c r="D180">
        <v>6164.59</v>
      </c>
      <c r="E180" t="s">
        <v>8</v>
      </c>
    </row>
    <row r="181" spans="1:5">
      <c r="A181" t="s">
        <v>5</v>
      </c>
      <c r="B181">
        <v>2019</v>
      </c>
      <c r="C181">
        <v>774.12</v>
      </c>
      <c r="D181">
        <v>6344.63</v>
      </c>
      <c r="E181" t="s">
        <v>6</v>
      </c>
    </row>
    <row r="182" spans="1:5">
      <c r="A182" t="s">
        <v>20</v>
      </c>
      <c r="B182">
        <v>2007</v>
      </c>
      <c r="C182">
        <v>4040.5</v>
      </c>
      <c r="D182">
        <v>3183.36</v>
      </c>
      <c r="E182" t="s">
        <v>18</v>
      </c>
    </row>
    <row r="183" spans="1:5">
      <c r="A183" t="s">
        <v>22</v>
      </c>
      <c r="B183">
        <v>2008</v>
      </c>
      <c r="C183">
        <v>4736.31</v>
      </c>
      <c r="D183">
        <v>2227.06</v>
      </c>
      <c r="E183" t="s">
        <v>10</v>
      </c>
    </row>
    <row r="184" spans="1:5">
      <c r="A184" t="s">
        <v>5</v>
      </c>
      <c r="B184">
        <v>2006</v>
      </c>
      <c r="C184">
        <v>992.81</v>
      </c>
      <c r="D184">
        <v>4309.51</v>
      </c>
      <c r="E184" t="s">
        <v>6</v>
      </c>
    </row>
    <row r="185" spans="1:5">
      <c r="A185" t="s">
        <v>21</v>
      </c>
      <c r="B185">
        <v>2000</v>
      </c>
      <c r="C185">
        <v>6316.46</v>
      </c>
      <c r="D185">
        <v>6421.6</v>
      </c>
      <c r="E185" t="s">
        <v>18</v>
      </c>
    </row>
    <row r="186" spans="1:5">
      <c r="A186" t="s">
        <v>21</v>
      </c>
      <c r="B186">
        <v>2002</v>
      </c>
      <c r="C186">
        <v>3899.67</v>
      </c>
      <c r="D186">
        <v>1790.37</v>
      </c>
      <c r="E186" t="s">
        <v>18</v>
      </c>
    </row>
    <row r="187" spans="1:5">
      <c r="A187" t="s">
        <v>22</v>
      </c>
      <c r="B187">
        <v>2012</v>
      </c>
      <c r="C187">
        <v>4432.93</v>
      </c>
      <c r="D187">
        <v>4511.58</v>
      </c>
      <c r="E187" t="s">
        <v>10</v>
      </c>
    </row>
    <row r="188" spans="1:5">
      <c r="A188" t="s">
        <v>9</v>
      </c>
      <c r="B188">
        <v>2016</v>
      </c>
      <c r="C188">
        <v>3805.72</v>
      </c>
      <c r="D188">
        <v>4568.3</v>
      </c>
      <c r="E188" t="s">
        <v>10</v>
      </c>
    </row>
    <row r="189" spans="1:5">
      <c r="A189" t="s">
        <v>22</v>
      </c>
      <c r="B189">
        <v>2023</v>
      </c>
      <c r="C189">
        <v>3505.72</v>
      </c>
      <c r="D189">
        <v>5238.55</v>
      </c>
      <c r="E189" t="s">
        <v>10</v>
      </c>
    </row>
    <row r="190" spans="1:5">
      <c r="A190" t="s">
        <v>7</v>
      </c>
      <c r="B190">
        <v>2000</v>
      </c>
      <c r="C190">
        <v>4697.3</v>
      </c>
      <c r="D190">
        <v>1268.35</v>
      </c>
      <c r="E190" t="s">
        <v>8</v>
      </c>
    </row>
    <row r="191" spans="1:5">
      <c r="A191" t="s">
        <v>22</v>
      </c>
      <c r="B191">
        <v>2005</v>
      </c>
      <c r="C191">
        <v>1664.3</v>
      </c>
      <c r="D191">
        <v>5124.44</v>
      </c>
      <c r="E191" t="s">
        <v>10</v>
      </c>
    </row>
    <row r="192" spans="1:5">
      <c r="A192" t="s">
        <v>16</v>
      </c>
      <c r="B192">
        <v>2020</v>
      </c>
      <c r="C192">
        <v>1864.46</v>
      </c>
      <c r="D192">
        <v>6399.61</v>
      </c>
      <c r="E192" t="s">
        <v>8</v>
      </c>
    </row>
    <row r="193" spans="1:5">
      <c r="A193" t="s">
        <v>5</v>
      </c>
      <c r="B193">
        <v>2005</v>
      </c>
      <c r="C193">
        <v>6963.39</v>
      </c>
      <c r="D193">
        <v>1585.91</v>
      </c>
      <c r="E193" t="s">
        <v>6</v>
      </c>
    </row>
    <row r="194" spans="1:5">
      <c r="A194" t="s">
        <v>17</v>
      </c>
      <c r="B194">
        <v>2011</v>
      </c>
      <c r="C194">
        <v>7595.87</v>
      </c>
      <c r="D194">
        <v>1967.79</v>
      </c>
      <c r="E194" t="s">
        <v>18</v>
      </c>
    </row>
    <row r="195" spans="1:5">
      <c r="A195" t="s">
        <v>11</v>
      </c>
      <c r="B195">
        <v>2012</v>
      </c>
      <c r="C195">
        <v>3299.82</v>
      </c>
      <c r="D195">
        <v>6811.21</v>
      </c>
      <c r="E195" t="s">
        <v>12</v>
      </c>
    </row>
    <row r="196" spans="1:5">
      <c r="A196" t="s">
        <v>9</v>
      </c>
      <c r="B196">
        <v>2012</v>
      </c>
      <c r="C196">
        <v>2530.59</v>
      </c>
      <c r="D196">
        <v>1594.45</v>
      </c>
      <c r="E196" t="s">
        <v>10</v>
      </c>
    </row>
    <row r="197" spans="1:5">
      <c r="A197" t="s">
        <v>22</v>
      </c>
      <c r="B197">
        <v>2014</v>
      </c>
      <c r="C197">
        <v>5330</v>
      </c>
      <c r="D197">
        <v>6038.94</v>
      </c>
      <c r="E197" t="s">
        <v>10</v>
      </c>
    </row>
    <row r="198" spans="1:5">
      <c r="A198" t="s">
        <v>13</v>
      </c>
      <c r="B198">
        <v>2020</v>
      </c>
      <c r="C198">
        <v>3565.51</v>
      </c>
      <c r="D198">
        <v>3649.03</v>
      </c>
      <c r="E198" t="s">
        <v>14</v>
      </c>
    </row>
    <row r="199" spans="1:5">
      <c r="A199" t="s">
        <v>21</v>
      </c>
      <c r="B199">
        <v>2015</v>
      </c>
      <c r="C199">
        <v>690.4</v>
      </c>
      <c r="D199">
        <v>2031.73</v>
      </c>
      <c r="E199" t="s">
        <v>18</v>
      </c>
    </row>
    <row r="200" spans="1:5">
      <c r="A200" t="s">
        <v>16</v>
      </c>
      <c r="B200">
        <v>2021</v>
      </c>
      <c r="C200">
        <v>1671.14</v>
      </c>
      <c r="D200">
        <v>6146.95</v>
      </c>
      <c r="E200" t="s">
        <v>8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zoomScale="85" zoomScaleNormal="85" topLeftCell="C1" workbookViewId="0">
      <selection activeCell="N7" sqref="N7"/>
    </sheetView>
  </sheetViews>
  <sheetFormatPr defaultColWidth="9" defaultRowHeight="14"/>
  <cols>
    <col min="1" max="1" width="25.75" style="1" customWidth="1"/>
    <col min="2" max="2" width="12.3333333333333" customWidth="1"/>
    <col min="3" max="3" width="21.25" style="1" customWidth="1"/>
    <col min="4" max="4" width="12.3333333333333" customWidth="1"/>
    <col min="6" max="6" width="18.4166666666667" customWidth="1"/>
    <col min="7" max="7" width="26.1666666666667" customWidth="1"/>
    <col min="8" max="8" width="15.8333333333333" customWidth="1"/>
    <col min="10" max="10" width="18.4166666666667" customWidth="1"/>
    <col min="11" max="11" width="26.1666666666667" customWidth="1"/>
    <col min="12" max="12" width="15.8333333333333" customWidth="1"/>
  </cols>
  <sheetData>
    <row r="1" spans="1:12">
      <c r="A1" s="4" t="s">
        <v>2</v>
      </c>
      <c r="B1" s="4"/>
      <c r="C1" s="4" t="s">
        <v>3</v>
      </c>
      <c r="D1" s="4"/>
      <c r="F1" s="5" t="s">
        <v>23</v>
      </c>
      <c r="G1" s="5" t="s">
        <v>24</v>
      </c>
      <c r="H1" s="5" t="s">
        <v>25</v>
      </c>
      <c r="J1" s="5" t="s">
        <v>23</v>
      </c>
      <c r="K1" s="5" t="s">
        <v>24</v>
      </c>
      <c r="L1" s="5" t="s">
        <v>25</v>
      </c>
    </row>
    <row r="2" spans="1:12">
      <c r="A2" s="1" t="s">
        <v>26</v>
      </c>
      <c r="B2">
        <v>4243.96715736041</v>
      </c>
      <c r="C2" s="1" t="s">
        <v>26</v>
      </c>
      <c r="D2">
        <v>3705.12728643216</v>
      </c>
      <c r="F2" s="6" t="s">
        <v>26</v>
      </c>
      <c r="G2" s="7">
        <f>B2</f>
        <v>4243.96715736041</v>
      </c>
      <c r="H2" s="7">
        <f>D2</f>
        <v>3705.12728643216</v>
      </c>
      <c r="J2" s="6" t="s">
        <v>27</v>
      </c>
      <c r="K2" s="7">
        <f>B6</f>
        <v>2127.40859396702</v>
      </c>
      <c r="L2" s="7">
        <f>D6</f>
        <v>1982.21665414973</v>
      </c>
    </row>
    <row r="3" spans="1:12">
      <c r="A3" s="1" t="s">
        <v>28</v>
      </c>
      <c r="B3">
        <v>151.571586439077</v>
      </c>
      <c r="C3" s="1" t="s">
        <v>28</v>
      </c>
      <c r="D3">
        <v>140.515613038125</v>
      </c>
    </row>
    <row r="4" spans="1:12">
      <c r="A4" s="1" t="s">
        <v>29</v>
      </c>
      <c r="B4">
        <v>4266.46</v>
      </c>
      <c r="C4" s="1" t="s">
        <v>29</v>
      </c>
      <c r="D4">
        <v>3688.09</v>
      </c>
    </row>
    <row r="5" spans="1:12">
      <c r="A5" s="1" t="s">
        <v>30</v>
      </c>
      <c r="B5" t="e">
        <v>#N/A</v>
      </c>
      <c r="C5" s="1" t="s">
        <v>30</v>
      </c>
      <c r="D5" t="e">
        <v>#N/A</v>
      </c>
    </row>
    <row r="6" spans="1:12">
      <c r="A6" s="1" t="s">
        <v>27</v>
      </c>
      <c r="B6">
        <v>2127.40859396702</v>
      </c>
      <c r="C6" s="1" t="s">
        <v>27</v>
      </c>
      <c r="D6">
        <v>1982.21665414973</v>
      </c>
    </row>
    <row r="7" spans="1:12">
      <c r="A7" s="1" t="s">
        <v>31</v>
      </c>
      <c r="B7">
        <v>4525867.32568472</v>
      </c>
      <c r="C7" s="1" t="s">
        <v>31</v>
      </c>
      <c r="D7">
        <v>3929182.86398856</v>
      </c>
    </row>
    <row r="8" spans="1:12">
      <c r="A8" s="1" t="s">
        <v>32</v>
      </c>
      <c r="B8">
        <v>-1.18554205555612</v>
      </c>
      <c r="C8" s="1" t="s">
        <v>32</v>
      </c>
      <c r="D8">
        <v>-1.27200682929156</v>
      </c>
    </row>
    <row r="9" spans="1:12">
      <c r="A9" s="1" t="s">
        <v>33</v>
      </c>
      <c r="B9">
        <v>0.0553556777853727</v>
      </c>
      <c r="C9" s="1" t="s">
        <v>33</v>
      </c>
      <c r="D9">
        <v>-0.0410330204128169</v>
      </c>
    </row>
    <row r="10" spans="1:12">
      <c r="A10" s="1" t="s">
        <v>34</v>
      </c>
      <c r="B10">
        <v>7441.82</v>
      </c>
      <c r="C10" s="1" t="s">
        <v>34</v>
      </c>
      <c r="D10">
        <v>6516.53</v>
      </c>
    </row>
    <row r="11" spans="1:12">
      <c r="A11" s="1" t="s">
        <v>35</v>
      </c>
      <c r="B11">
        <v>534.74</v>
      </c>
      <c r="C11" s="1" t="s">
        <v>35</v>
      </c>
      <c r="D11">
        <v>464.49</v>
      </c>
    </row>
    <row r="12" spans="1:12">
      <c r="A12" s="1" t="s">
        <v>36</v>
      </c>
      <c r="B12">
        <v>7976.56</v>
      </c>
      <c r="C12" s="1" t="s">
        <v>36</v>
      </c>
      <c r="D12">
        <v>6981.02</v>
      </c>
    </row>
    <row r="13" spans="1:12">
      <c r="A13" s="1" t="s">
        <v>37</v>
      </c>
      <c r="B13">
        <v>836061.53</v>
      </c>
      <c r="C13" s="1" t="s">
        <v>37</v>
      </c>
      <c r="D13">
        <v>737320.33</v>
      </c>
    </row>
    <row r="14" spans="1:12">
      <c r="A14" s="1" t="s">
        <v>38</v>
      </c>
      <c r="B14">
        <v>197</v>
      </c>
      <c r="C14" s="1" t="s">
        <v>38</v>
      </c>
      <c r="D14">
        <v>199</v>
      </c>
    </row>
    <row r="15" ht="14.75" spans="1:12">
      <c r="A15" s="8" t="s">
        <v>39</v>
      </c>
      <c r="B15" s="9">
        <v>298.920573649214</v>
      </c>
      <c r="C15" s="8" t="s">
        <v>39</v>
      </c>
      <c r="D15" s="9">
        <v>277.099244820067</v>
      </c>
    </row>
  </sheetData>
  <pageMargins left="0.7" right="0.7" top="0.75" bottom="0.75" header="0.3" footer="0.3"/>
  <pageSetup paperSize="1" orientation="portrait"/>
  <headerFooter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0"/>
  <sheetViews>
    <sheetView tabSelected="1" zoomScale="67" zoomScaleNormal="67" workbookViewId="0">
      <selection activeCell="C23" sqref="C23"/>
    </sheetView>
  </sheetViews>
  <sheetFormatPr defaultColWidth="9" defaultRowHeight="14" outlineLevelCol="2"/>
  <cols>
    <col min="1" max="1" width="12.9166666666667" style="1" customWidth="1"/>
    <col min="2" max="2" width="25.4166666666667" style="2" customWidth="1"/>
    <col min="3" max="3" width="24.5833333333333" style="2" customWidth="1"/>
    <col min="4" max="4" width="20.3333333333333" customWidth="1"/>
  </cols>
  <sheetData>
    <row r="3" spans="1:3">
      <c r="A3" s="1" t="s">
        <v>40</v>
      </c>
      <c r="B3" s="2" t="s">
        <v>41</v>
      </c>
      <c r="C3" s="2" t="s">
        <v>42</v>
      </c>
    </row>
    <row r="4" spans="1:3">
      <c r="A4" s="3" t="s">
        <v>12</v>
      </c>
      <c r="B4" s="2">
        <v>4695.185</v>
      </c>
      <c r="C4" s="2">
        <v>3963.17388888889</v>
      </c>
    </row>
    <row r="5" spans="1:3">
      <c r="A5" s="3" t="s">
        <v>8</v>
      </c>
      <c r="B5" s="2">
        <v>4172.51404255319</v>
      </c>
      <c r="C5" s="2">
        <v>3645.29319148936</v>
      </c>
    </row>
    <row r="6" spans="1:3">
      <c r="A6" s="3" t="s">
        <v>10</v>
      </c>
      <c r="B6" s="2">
        <v>4477.25755555556</v>
      </c>
      <c r="C6" s="2">
        <v>3554.35</v>
      </c>
    </row>
    <row r="7" spans="1:3">
      <c r="A7" s="3" t="s">
        <v>18</v>
      </c>
      <c r="B7" s="2">
        <v>3764.2836</v>
      </c>
      <c r="C7" s="2">
        <v>3750.07294117647</v>
      </c>
    </row>
    <row r="8" spans="1:3">
      <c r="A8" s="3" t="s">
        <v>6</v>
      </c>
      <c r="B8" s="2">
        <v>4548.38952380952</v>
      </c>
      <c r="C8" s="2">
        <v>3913.39590909091</v>
      </c>
    </row>
    <row r="9" spans="1:3">
      <c r="A9" s="3" t="s">
        <v>14</v>
      </c>
      <c r="B9" s="2">
        <v>4389.568125</v>
      </c>
      <c r="C9" s="2">
        <v>3585.015</v>
      </c>
    </row>
    <row r="10" spans="1:3">
      <c r="A10" s="3" t="s">
        <v>43</v>
      </c>
      <c r="B10" s="2">
        <v>4243.96715736041</v>
      </c>
      <c r="C10" s="2">
        <v>3705.12728643216</v>
      </c>
    </row>
  </sheetData>
  <pageMargins left="0.7" right="0.7" top="0.75" bottom="0.75" header="0.3" footer="0.3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Cleaned_01_Cost of Living</vt:lpstr>
      <vt:lpstr>Descriptive analysis</vt:lpstr>
      <vt:lpstr>Descriptive analysis by region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Ngọc Phương Nguyễn</cp:lastModifiedBy>
  <dcterms:created xsi:type="dcterms:W3CDTF">2024-12-20T01:57:00Z</dcterms:created>
  <cp:lastPrinted>2026-10-30T04:09:00Z</cp:lastPrinted>
  <dcterms:modified xsi:type="dcterms:W3CDTF">2026-10-30T08:51:58Z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2025-04-02T03:12:39Z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ee676dbe-0c64-482a-afed-517ad099a1ba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ICV">
    <vt:lpwstr>9FE7248C4A6640E4A27DC5AEE9E773AC_13</vt:lpwstr>
  </property>
  <property fmtid="{D5CDD505-2E9C-101B-9397-08002B2CF9AE}" pid="11" name="KSOProductBuildVer">
    <vt:lpwstr>1033-12.1.0.29162</vt:lpwstr>
  </property>
  <property fmtid="{D5CDD505-2E9C-101B-9397-08002B2CF9AE}" pid="12" name="CalculationRule">
    <vt:i4>0</vt:i4>
  </property>
</Properties>
</file>